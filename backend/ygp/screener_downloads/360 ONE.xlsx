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3D42C80E-337A-435E-AF92-E1559D3ACF33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H14" i="3" s="1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B93" i="6"/>
  <c r="B13" i="1" s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G21" i="2" s="1"/>
  <c r="H18" i="2"/>
  <c r="I18" i="2"/>
  <c r="I21" i="2" s="1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H16" i="2" s="1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E16" i="2" s="1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L4" i="1" s="1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L12" i="1" s="1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G4" i="1"/>
  <c r="G6" i="1" s="1"/>
  <c r="G19" i="1" s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F13" i="1" s="1"/>
  <c r="G12" i="1"/>
  <c r="G13" i="1" s="1"/>
  <c r="H12" i="1"/>
  <c r="H13" i="1" s="1"/>
  <c r="I12" i="1"/>
  <c r="I23" i="2" s="1"/>
  <c r="J12" i="1"/>
  <c r="J13" i="1" s="1"/>
  <c r="K12" i="1"/>
  <c r="K23" i="2" s="1"/>
  <c r="C15" i="1"/>
  <c r="C14" i="1"/>
  <c r="D15" i="1"/>
  <c r="D14" i="1" s="1"/>
  <c r="E15" i="1"/>
  <c r="F15" i="1"/>
  <c r="F14" i="1" s="1"/>
  <c r="G15" i="1"/>
  <c r="H15" i="1"/>
  <c r="I15" i="1"/>
  <c r="J15" i="1"/>
  <c r="K15" i="1"/>
  <c r="B15" i="1"/>
  <c r="B14" i="1" s="1"/>
  <c r="B7" i="1"/>
  <c r="B4" i="1"/>
  <c r="B20" i="2" s="1"/>
  <c r="A1" i="1"/>
  <c r="E1" i="6"/>
  <c r="H1" i="1" s="1"/>
  <c r="F23" i="2"/>
  <c r="F16" i="2"/>
  <c r="D23" i="2"/>
  <c r="D6" i="1"/>
  <c r="D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H21" i="2"/>
  <c r="F21" i="2"/>
  <c r="E21" i="2"/>
  <c r="C21" i="2"/>
  <c r="B18" i="2"/>
  <c r="B21" i="2" s="1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A1" i="3"/>
  <c r="A1" i="2"/>
  <c r="A1" i="4" s="1"/>
  <c r="H23" i="1"/>
  <c r="B6" i="1" l="1"/>
  <c r="B19" i="1" s="1"/>
  <c r="E6" i="1"/>
  <c r="E19" i="1" s="1"/>
  <c r="L13" i="1"/>
  <c r="L14" i="1" s="1"/>
  <c r="L25" i="1" s="1"/>
  <c r="L5" i="1"/>
  <c r="L23" i="1"/>
  <c r="D21" i="2"/>
  <c r="E20" i="2"/>
  <c r="L7" i="1"/>
  <c r="K13" i="1"/>
  <c r="K14" i="1" s="1"/>
  <c r="J14" i="3"/>
  <c r="G20" i="2"/>
  <c r="I16" i="2"/>
  <c r="G14" i="1"/>
  <c r="D20" i="2"/>
  <c r="H23" i="2"/>
  <c r="C13" i="1"/>
  <c r="F20" i="2"/>
  <c r="E23" i="2"/>
  <c r="J23" i="1"/>
  <c r="L11" i="1"/>
  <c r="N11" i="1" s="1"/>
  <c r="C24" i="2"/>
  <c r="D16" i="2"/>
  <c r="C23" i="2"/>
  <c r="J14" i="1"/>
  <c r="L6" i="1"/>
  <c r="L19" i="1" s="1"/>
  <c r="L24" i="1" s="1"/>
  <c r="K6" i="1"/>
  <c r="K19" i="1" s="1"/>
  <c r="B23" i="2"/>
  <c r="I13" i="1"/>
  <c r="I14" i="1" s="1"/>
  <c r="H14" i="1"/>
  <c r="G24" i="2"/>
  <c r="I23" i="1"/>
  <c r="L9" i="1"/>
  <c r="N9" i="1" s="1"/>
  <c r="L8" i="1"/>
  <c r="M8" i="1" s="1"/>
  <c r="J23" i="2"/>
  <c r="D13" i="1"/>
  <c r="E13" i="1" s="1"/>
  <c r="E14" i="1" s="1"/>
  <c r="H24" i="2"/>
  <c r="G23" i="2"/>
  <c r="E1" i="3"/>
  <c r="K24" i="2"/>
  <c r="K20" i="2"/>
  <c r="I6" i="1"/>
  <c r="I19" i="1" s="1"/>
  <c r="E1" i="2"/>
  <c r="F24" i="2"/>
  <c r="B16" i="2"/>
  <c r="J16" i="2"/>
  <c r="G16" i="2"/>
  <c r="E24" i="2"/>
  <c r="C20" i="2"/>
  <c r="J24" i="2"/>
  <c r="D24" i="2"/>
  <c r="I24" i="2"/>
  <c r="I20" i="2"/>
  <c r="H20" i="2"/>
  <c r="K23" i="1"/>
  <c r="M23" i="1" s="1"/>
  <c r="M4" i="1" s="1"/>
  <c r="H6" i="1"/>
  <c r="H19" i="1" s="1"/>
  <c r="J24" i="1" s="1"/>
  <c r="F6" i="1"/>
  <c r="F19" i="1" s="1"/>
  <c r="H24" i="1" s="1"/>
  <c r="E1" i="4"/>
  <c r="I24" i="1" l="1"/>
  <c r="N23" i="1"/>
  <c r="N4" i="1" s="1"/>
  <c r="M11" i="1"/>
  <c r="M9" i="1"/>
  <c r="K25" i="1"/>
  <c r="M25" i="1" s="1"/>
  <c r="M14" i="1" s="1"/>
  <c r="I25" i="1"/>
  <c r="H25" i="1"/>
  <c r="J25" i="1"/>
  <c r="N8" i="1"/>
  <c r="K24" i="1"/>
  <c r="M24" i="1" s="1"/>
  <c r="M6" i="1"/>
  <c r="M10" i="1" s="1"/>
  <c r="M12" i="1" s="1"/>
  <c r="M13" i="1" s="1"/>
  <c r="N25" i="1" l="1"/>
  <c r="N14" i="1" s="1"/>
  <c r="N24" i="1"/>
  <c r="N6" i="1" s="1"/>
  <c r="N10" i="1"/>
  <c r="N12" i="1" s="1"/>
  <c r="N13" i="1" s="1"/>
  <c r="N15" i="1" s="1"/>
  <c r="N5" i="1"/>
  <c r="M1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<sst xmlns="http://schemas.openxmlformats.org/spreadsheetml/2006/main" count="145" uniqueCount="93">
  <si>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</si>
  <si>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</si>
  <si>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</si>
  <si>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</si>
  <si>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</si>
  <si>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</si>
  <si>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</si>
  <si>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</si>
  <si>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</si>
  <si>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</si>
  <si>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</si>
  <si>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</si>
  <si>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</si>
  <si>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</si>
  <si>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</si>
  <si>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</si>
  <si>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</si>
  <si>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</si>
  <si>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</si>
  <si>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</si>
  <si>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</si>
  <si>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</si>
  <si>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</si>
  <si>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</si>
  <si>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</si>
  <si>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</si>
  <si>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</si>
  <si>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</si>
  <si>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</si>
  <si>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</si>
  <si>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</si>
  <si>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</si>
  <si>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</si>
  <si>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</si>
  <si>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</si>
  <si>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</si>
  <si>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</si>
  <si>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</si>
  <si>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</si>
  <si>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</si>
  <si>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</si>
  <si>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</si>
  <si>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</si>
  <si>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</si>
  <si>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</si>
  <si>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</si>
  <si>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</si>
  <si>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</si>
  <si>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</si>
  <si>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</si>
  <si>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</si>
  <si>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</si>
  <si>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</si>
  <si>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</si>
  <si>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</si>
  <si>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</si>
  <si>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</si>
  <si>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</si>
  <si>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</si>
  <si>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</si>
  <si>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</si>
  <si>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</si>
  <si>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</si>
  <si>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360 ONE WAM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</si>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</sst>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360 ONE WAM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0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0</v>
      </c>
      <c r="C4" s="1">
        <f>'Data Sheet'!C17</f>
        <v>1705.14</v>
      </c>
      <c r="D4" s="1">
        <f>'Data Sheet'!D17</f>
        <v>1578.47</v>
      </c>
      <c r="E4" s="1">
        <f>'Data Sheet'!E17</f>
        <v>1520.77</v>
      </c>
      <c r="F4" s="1">
        <f>'Data Sheet'!F17</f>
        <v>1654.32</v>
      </c>
      <c r="G4" s="1">
        <f>'Data Sheet'!G17</f>
        <v>2071.81</v>
      </c>
      <c r="H4" s="1">
        <f>'Data Sheet'!H17</f>
        <v>2056.65</v>
      </c>
      <c r="I4" s="1">
        <f>'Data Sheet'!I17</f>
        <v>2920.91</v>
      </c>
      <c r="J4" s="1">
        <f>'Data Sheet'!J17</f>
        <v>3683.87</v>
      </c>
      <c r="K4" s="1">
        <f>'Data Sheet'!K17</f>
        <v>4470.1400000000003</v>
      </c>
      <c r="L4" s="1">
        <f>SUM(Quarters!H4:K4)</f>
        <v>4664.08</v>
      </c>
      <c r="M4" s="1">
        <f>$K4+M23*K4</f>
        <v>5790.3929457751401</v>
      </c>
      <c r="N4" s="1">
        <f>$K4+N23*L4</f>
        <v>5217.957129181882</v>
      </c>
    </row>
    <row r="5" spans="1:14" x14ac:dyDescent="0.25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652.3599999999999</v>
      </c>
      <c r="D5" s="6">
        <f>SUM('Data Sheet'!D18,'Data Sheet'!D20:D24, -1*'Data Sheet'!D19)</f>
        <v>588.80999999999995</v>
      </c>
      <c r="E5" s="6">
        <f>SUM('Data Sheet'!E18,'Data Sheet'!E20:E24, -1*'Data Sheet'!E19)</f>
        <v>697.5100000000001</v>
      </c>
      <c r="F5" s="6">
        <f>SUM('Data Sheet'!F18,'Data Sheet'!F20:F24, -1*'Data Sheet'!F19)</f>
        <v>715.19</v>
      </c>
      <c r="G5" s="6">
        <f>SUM('Data Sheet'!G18,'Data Sheet'!G20:G24, -1*'Data Sheet'!G19)</f>
        <v>914.81000000000006</v>
      </c>
      <c r="H5" s="6">
        <f>SUM('Data Sheet'!H18,'Data Sheet'!H20:H24, -1*'Data Sheet'!H19)</f>
        <v>765.74</v>
      </c>
      <c r="I5" s="6">
        <f>SUM('Data Sheet'!I18,'Data Sheet'!I20:I24, -1*'Data Sheet'!I19)</f>
        <v>1216.06</v>
      </c>
      <c r="J5" s="6">
        <f>SUM('Data Sheet'!J18,'Data Sheet'!J20:J24, -1*'Data Sheet'!J19)</f>
        <v>1292.4000000000001</v>
      </c>
      <c r="K5" s="6">
        <f>SUM('Data Sheet'!K18,'Data Sheet'!K20:K24, -1*'Data Sheet'!K19)</f>
        <v>1654.92</v>
      </c>
      <c r="L5" s="6">
        <f>SUM(Quarters!H5:K5)</f>
        <v>1828.54</v>
      </c>
      <c r="M5" s="6">
        <f t="shared" ref="M5:N5" si="0">M4-M6</f>
        <v>2176.7747471386974</v>
      </c>
      <c r="N5" s="6">
        <f t="shared" si="0"/>
        <v>2060.2794597338684</v>
      </c>
    </row>
    <row r="6" spans="1:14" s="2" customFormat="1" x14ac:dyDescent="0.25">
      <c r="A6" s="2" t="s">
        <v>8</v>
      </c>
      <c r="B6" s="1">
        <f>B4-B5</f>
        <v>0</v>
      </c>
      <c r="C6" s="1">
        <f t="shared" ref="C6:K6" si="1">C4-C5</f>
        <v>1052.7800000000002</v>
      </c>
      <c r="D6" s="1">
        <f t="shared" si="1"/>
        <v>989.66000000000008</v>
      </c>
      <c r="E6" s="1">
        <f t="shared" si="1"/>
        <v>823.25999999999988</v>
      </c>
      <c r="F6" s="1">
        <f t="shared" si="1"/>
        <v>939.12999999999988</v>
      </c>
      <c r="G6" s="1">
        <f t="shared" si="1"/>
        <v>1157</v>
      </c>
      <c r="H6" s="1">
        <f t="shared" si="1"/>
        <v>1290.9100000000001</v>
      </c>
      <c r="I6" s="1">
        <f t="shared" si="1"/>
        <v>1704.85</v>
      </c>
      <c r="J6" s="1">
        <f t="shared" si="1"/>
        <v>2391.4699999999998</v>
      </c>
      <c r="K6" s="1">
        <f t="shared" si="1"/>
        <v>2815.2200000000003</v>
      </c>
      <c r="L6" s="1">
        <f>SUM(Quarters!H6:K6)</f>
        <v>2835.54</v>
      </c>
      <c r="M6" s="1">
        <f>M4*M24</f>
        <v>3613.6181986364427</v>
      </c>
      <c r="N6" s="1">
        <f>N4*N24</f>
        <v>3157.6776694480136</v>
      </c>
    </row>
    <row r="7" spans="1:14" x14ac:dyDescent="0.25">
      <c r="A7" t="s">
        <v>9</v>
      </c>
      <c r="B7" s="6">
        <f>'Data Sheet'!B25</f>
        <v>0</v>
      </c>
      <c r="C7" s="6">
        <f>'Data Sheet'!C25</f>
        <v>9.67</v>
      </c>
      <c r="D7" s="6">
        <f>'Data Sheet'!D25</f>
        <v>0.86</v>
      </c>
      <c r="E7" s="6">
        <f>'Data Sheet'!E25</f>
        <v>5.77</v>
      </c>
      <c r="F7" s="6">
        <f>'Data Sheet'!F25</f>
        <v>2.31</v>
      </c>
      <c r="G7" s="6">
        <f>'Data Sheet'!G25</f>
        <v>5.89</v>
      </c>
      <c r="H7" s="6">
        <f>'Data Sheet'!H25</f>
        <v>4.8899999999999997</v>
      </c>
      <c r="I7" s="6">
        <f>'Data Sheet'!I25</f>
        <v>3.82</v>
      </c>
      <c r="J7" s="6">
        <f>'Data Sheet'!J25</f>
        <v>-87.1</v>
      </c>
      <c r="K7" s="6">
        <f>'Data Sheet'!K25</f>
        <v>7.12</v>
      </c>
      <c r="L7" s="6">
        <f>SUM(Quarters!H7:K7)</f>
        <v>260.16999999999996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</v>
      </c>
      <c r="C8" s="6">
        <f>'Data Sheet'!C26</f>
        <v>13.61</v>
      </c>
      <c r="D8" s="6">
        <f>'Data Sheet'!D26</f>
        <v>21.51</v>
      </c>
      <c r="E8" s="6">
        <f>'Data Sheet'!E26</f>
        <v>41.02</v>
      </c>
      <c r="F8" s="6">
        <f>'Data Sheet'!F26</f>
        <v>42.97</v>
      </c>
      <c r="G8" s="6">
        <f>'Data Sheet'!G26</f>
        <v>41.74</v>
      </c>
      <c r="H8" s="6">
        <f>'Data Sheet'!H26</f>
        <v>46.31</v>
      </c>
      <c r="I8" s="6">
        <f>'Data Sheet'!I26</f>
        <v>56.64</v>
      </c>
      <c r="J8" s="6">
        <f>'Data Sheet'!J26</f>
        <v>70.53</v>
      </c>
      <c r="K8" s="6">
        <f>'Data Sheet'!K26</f>
        <v>155.22</v>
      </c>
      <c r="L8" s="6">
        <f>SUM(Quarters!H8:K8)</f>
        <v>168.8</v>
      </c>
      <c r="M8" s="6">
        <f>+$L8</f>
        <v>168.8</v>
      </c>
      <c r="N8" s="6">
        <f>+$L8</f>
        <v>168.8</v>
      </c>
    </row>
    <row r="9" spans="1:14" x14ac:dyDescent="0.25">
      <c r="A9" t="s">
        <v>11</v>
      </c>
      <c r="B9" s="6">
        <f>'Data Sheet'!B27</f>
        <v>0</v>
      </c>
      <c r="C9" s="6">
        <f>'Data Sheet'!C27</f>
        <v>558.76</v>
      </c>
      <c r="D9" s="6">
        <f>'Data Sheet'!D27</f>
        <v>431.08</v>
      </c>
      <c r="E9" s="6">
        <f>'Data Sheet'!E27</f>
        <v>501.59</v>
      </c>
      <c r="F9" s="6">
        <f>'Data Sheet'!F27</f>
        <v>413.55</v>
      </c>
      <c r="G9" s="6">
        <f>'Data Sheet'!G27</f>
        <v>369.85</v>
      </c>
      <c r="H9" s="6">
        <f>'Data Sheet'!H27</f>
        <v>399.2</v>
      </c>
      <c r="I9" s="6">
        <f>'Data Sheet'!I27</f>
        <v>643.49</v>
      </c>
      <c r="J9" s="6">
        <f>'Data Sheet'!J27</f>
        <v>887.02</v>
      </c>
      <c r="K9" s="6">
        <f>'Data Sheet'!K27</f>
        <v>1090.24</v>
      </c>
      <c r="L9" s="6">
        <f>SUM(Quarters!H9:K9)</f>
        <v>1323.1399999999999</v>
      </c>
      <c r="M9" s="6">
        <f>+$L9</f>
        <v>1323.1399999999999</v>
      </c>
      <c r="N9" s="6">
        <f>+$L9</f>
        <v>1323.1399999999999</v>
      </c>
    </row>
    <row r="10" spans="1:14" x14ac:dyDescent="0.25">
      <c r="A10" t="s">
        <v>12</v>
      </c>
      <c r="B10" s="6">
        <f>'Data Sheet'!B28</f>
        <v>0</v>
      </c>
      <c r="C10" s="6">
        <f>'Data Sheet'!C28</f>
        <v>490.08</v>
      </c>
      <c r="D10" s="6">
        <f>'Data Sheet'!D28</f>
        <v>537.92999999999995</v>
      </c>
      <c r="E10" s="6">
        <f>'Data Sheet'!E28</f>
        <v>286.42</v>
      </c>
      <c r="F10" s="6">
        <f>'Data Sheet'!F28</f>
        <v>484.92</v>
      </c>
      <c r="G10" s="6">
        <f>'Data Sheet'!G28</f>
        <v>751.3</v>
      </c>
      <c r="H10" s="6">
        <f>'Data Sheet'!H28</f>
        <v>850.29</v>
      </c>
      <c r="I10" s="6">
        <f>'Data Sheet'!I28</f>
        <v>1008.54</v>
      </c>
      <c r="J10" s="6">
        <f>'Data Sheet'!J28</f>
        <v>1346.82</v>
      </c>
      <c r="K10" s="6">
        <f>'Data Sheet'!K28</f>
        <v>1576.88</v>
      </c>
      <c r="L10" s="6">
        <f>SUM(Quarters!H10:K10)</f>
        <v>1603.77</v>
      </c>
      <c r="M10" s="6">
        <f>M6+M7-SUM(M8:M9)</f>
        <v>2121.6781986364431</v>
      </c>
      <c r="N10" s="6">
        <f>N6+N7-SUM(N8:N9)</f>
        <v>1665.7376694480138</v>
      </c>
    </row>
    <row r="11" spans="1:14" x14ac:dyDescent="0.25">
      <c r="A11" t="s">
        <v>13</v>
      </c>
      <c r="B11" s="6">
        <f>'Data Sheet'!B29</f>
        <v>0</v>
      </c>
      <c r="C11" s="6">
        <f>'Data Sheet'!C29</f>
        <v>109.9</v>
      </c>
      <c r="D11" s="6">
        <f>'Data Sheet'!D29</f>
        <v>163.38</v>
      </c>
      <c r="E11" s="6">
        <f>'Data Sheet'!E29</f>
        <v>85.26</v>
      </c>
      <c r="F11" s="6">
        <f>'Data Sheet'!F29</f>
        <v>115.73</v>
      </c>
      <c r="G11" s="6">
        <f>'Data Sheet'!G29</f>
        <v>173.56</v>
      </c>
      <c r="H11" s="6">
        <f>'Data Sheet'!H29</f>
        <v>192.4</v>
      </c>
      <c r="I11" s="6">
        <f>'Data Sheet'!I29</f>
        <v>204.33</v>
      </c>
      <c r="J11" s="6">
        <f>'Data Sheet'!J29</f>
        <v>331.52</v>
      </c>
      <c r="K11" s="6">
        <f>'Data Sheet'!K29</f>
        <v>360.71</v>
      </c>
      <c r="L11" s="6">
        <f>SUM(Quarters!H11:K11)</f>
        <v>357.11</v>
      </c>
      <c r="M11" s="7">
        <f>IF($L10&gt;0,$L11/$L10,0)</f>
        <v>0.22266908596619217</v>
      </c>
      <c r="N11" s="7">
        <f>IF($L10&gt;0,$L11/$L10,0)</f>
        <v>0.22266908596619217</v>
      </c>
    </row>
    <row r="12" spans="1:14" s="2" customFormat="1" x14ac:dyDescent="0.25">
      <c r="A12" s="2" t="s">
        <v>14</v>
      </c>
      <c r="B12" s="1">
        <f>'Data Sheet'!B30</f>
        <v>0</v>
      </c>
      <c r="C12" s="1">
        <f>'Data Sheet'!C30</f>
        <v>380.17</v>
      </c>
      <c r="D12" s="1">
        <f>'Data Sheet'!D30</f>
        <v>374.55</v>
      </c>
      <c r="E12" s="1">
        <f>'Data Sheet'!E30</f>
        <v>201.16</v>
      </c>
      <c r="F12" s="1">
        <f>'Data Sheet'!F30</f>
        <v>369.19</v>
      </c>
      <c r="G12" s="1">
        <f>'Data Sheet'!G30</f>
        <v>577.74</v>
      </c>
      <c r="H12" s="1">
        <f>'Data Sheet'!H30</f>
        <v>657.93</v>
      </c>
      <c r="I12" s="1">
        <f>'Data Sheet'!I30</f>
        <v>804.21</v>
      </c>
      <c r="J12" s="1">
        <f>'Data Sheet'!J30</f>
        <v>1015.3</v>
      </c>
      <c r="K12" s="1">
        <f>'Data Sheet'!K30</f>
        <v>1216.17</v>
      </c>
      <c r="L12" s="1">
        <f>SUM(Quarters!H12:K12)</f>
        <v>1246.6599999999999</v>
      </c>
      <c r="M12" s="1">
        <f>M10-M11*M10</f>
        <v>1649.2460534316692</v>
      </c>
      <c r="N12" s="1">
        <f>N10-N11*N10</f>
        <v>1294.8293851325693</v>
      </c>
    </row>
    <row r="13" spans="1:14" x14ac:dyDescent="0.25">
      <c r="A13" t="s">
        <v>57</v>
      </c>
      <c r="B13" s="6">
        <f>IF('Data Sheet'!B93&gt;0,B12/'Data Sheet'!B93,0)</f>
        <v>0</v>
      </c>
      <c r="C13" s="6">
        <f>IF('Data Sheet'!C93&gt;0,C12/'Data Sheet'!C93,0)</f>
        <v>23.834074766132726</v>
      </c>
      <c r="D13" s="6">
        <f>IF('Data Sheet'!D93&gt;0,D12/'Data Sheet'!D93,0)</f>
        <v>22.166529814754924</v>
      </c>
      <c r="E13" s="6">
        <f>IF('Data Sheet'!E93&gt;0,E12/'Data Sheet'!E93,0)</f>
        <v>5.7672018348623846</v>
      </c>
      <c r="F13" s="6">
        <f>IF('Data Sheet'!F93&gt;0,F12/'Data Sheet'!F93,0)</f>
        <v>10.500284414106941</v>
      </c>
      <c r="G13" s="6">
        <f>IF('Data Sheet'!G93&gt;0,G12/'Data Sheet'!G93,0)</f>
        <v>16.283540022547918</v>
      </c>
      <c r="H13" s="6">
        <f>IF('Data Sheet'!H93&gt;0,H12/'Data Sheet'!H93,0)</f>
        <v>18.4759898904802</v>
      </c>
      <c r="I13" s="6">
        <f>IF('Data Sheet'!I93&gt;0,I12/'Data Sheet'!I93,0)</f>
        <v>22.407634438562273</v>
      </c>
      <c r="J13" s="6">
        <f>IF('Data Sheet'!J93&gt;0,J12/'Data Sheet'!J93,0)</f>
        <v>25.828033579241922</v>
      </c>
      <c r="K13" s="6">
        <f>IF('Data Sheet'!K93&gt;0,K12/'Data Sheet'!K93,0)</f>
        <v>29.947549864565381</v>
      </c>
      <c r="L13" s="6">
        <f>IF('Data Sheet'!$B6&gt;0,'Profit &amp; Loss'!L12/'Data Sheet'!$B6,0)</f>
        <v>29.458087012752589</v>
      </c>
      <c r="M13" s="6">
        <f>IF('Data Sheet'!$B6&gt;0,'Profit &amp; Loss'!M12/'Data Sheet'!$B6,0)</f>
        <v>38.971037610438231</v>
      </c>
      <c r="N13" s="6">
        <f>IF('Data Sheet'!$B6&gt;0,'Profit &amp; Loss'!N12/'Data Sheet'!$B6,0)</f>
        <v>30.596310697306535</v>
      </c>
    </row>
    <row r="14" spans="1:14" x14ac:dyDescent="0.2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>
        <f t="shared" si="2"/>
        <v>43.6</v>
      </c>
      <c r="F14" s="6">
        <f t="shared" si="2"/>
        <v>29.508724504997424</v>
      </c>
      <c r="G14" s="6">
        <f t="shared" si="2"/>
        <v>25.62280679890608</v>
      </c>
      <c r="H14" s="6">
        <f t="shared" si="2"/>
        <v>23.311335552414391</v>
      </c>
      <c r="I14" s="6">
        <f t="shared" si="2"/>
        <v>30.150438318349686</v>
      </c>
      <c r="J14" s="6">
        <f t="shared" si="2"/>
        <v>36.497164877376143</v>
      </c>
      <c r="K14" s="6">
        <f t="shared" si="2"/>
        <v>31.708770977741597</v>
      </c>
      <c r="L14" s="6">
        <f t="shared" ref="L14" si="3">IF(L13&gt;0,L15/L13,0)</f>
        <v>33.641016796881274</v>
      </c>
      <c r="M14" s="6">
        <f>M25</f>
        <v>33.641016796881274</v>
      </c>
      <c r="N14" s="6">
        <f>N25</f>
        <v>30.155255553611529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251.45</v>
      </c>
      <c r="F15" s="1">
        <f>'Data Sheet'!F90</f>
        <v>309.85000000000002</v>
      </c>
      <c r="G15" s="1">
        <f>'Data Sheet'!G90</f>
        <v>417.23</v>
      </c>
      <c r="H15" s="1">
        <f>'Data Sheet'!H90</f>
        <v>430.7</v>
      </c>
      <c r="I15" s="1">
        <f>'Data Sheet'!I90</f>
        <v>675.6</v>
      </c>
      <c r="J15" s="1">
        <f>'Data Sheet'!J90</f>
        <v>942.65</v>
      </c>
      <c r="K15" s="1">
        <f>'Data Sheet'!K90</f>
        <v>949.6</v>
      </c>
      <c r="L15" s="1">
        <f>'Data Sheet'!B8</f>
        <v>991</v>
      </c>
      <c r="M15" s="8">
        <f>M13*M14</f>
        <v>1311.0253308446445</v>
      </c>
      <c r="N15" s="9">
        <f>N13*N14</f>
        <v>922.63956807497675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0.18881026909014387</v>
      </c>
      <c r="D18" s="5">
        <f>IF('Data Sheet'!D30&gt;0, 'Data Sheet'!D31/'Data Sheet'!D30, 0)</f>
        <v>0.22560405820317714</v>
      </c>
      <c r="E18" s="5">
        <f>IF('Data Sheet'!E30&gt;0, 'Data Sheet'!E31/'Data Sheet'!E30, 0)</f>
        <v>0.86647444820043751</v>
      </c>
      <c r="F18" s="5">
        <f>IF('Data Sheet'!F30&gt;0, 'Data Sheet'!F31/'Data Sheet'!F30, 0)</f>
        <v>1.6666215227931416</v>
      </c>
      <c r="G18" s="5">
        <f>IF('Data Sheet'!G30&gt;0, 'Data Sheet'!G31/'Data Sheet'!G30, 0)</f>
        <v>0.84441098071797005</v>
      </c>
      <c r="H18" s="5">
        <f>IF('Data Sheet'!H30&gt;0, 'Data Sheet'!H31/'Data Sheet'!H30, 0)</f>
        <v>3.7345766266928098</v>
      </c>
      <c r="I18" s="5">
        <f>IF('Data Sheet'!I30&gt;0, 'Data Sheet'!I31/'Data Sheet'!I30, 0)</f>
        <v>0.73634995834421346</v>
      </c>
      <c r="J18" s="5">
        <f>IF('Data Sheet'!J30&gt;0, 'Data Sheet'!J31/'Data Sheet'!J30, 0)</f>
        <v>0.23230572244656755</v>
      </c>
      <c r="K18" s="5">
        <f>IF('Data Sheet'!K30&gt;0, 'Data Sheet'!K31/'Data Sheet'!K30, 0)</f>
        <v>0.40070055995461157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0.61741557877945519</v>
      </c>
      <c r="D19" s="5">
        <f t="shared" si="5"/>
        <v>0.62697422187307972</v>
      </c>
      <c r="E19" s="5">
        <f t="shared" si="5"/>
        <v>0.54134418748397184</v>
      </c>
      <c r="F19" s="5">
        <f t="shared" si="5"/>
        <v>0.56768339861695438</v>
      </c>
      <c r="G19" s="5">
        <f t="shared" si="5"/>
        <v>0.55844889251427499</v>
      </c>
      <c r="H19" s="5">
        <f t="shared" si="5"/>
        <v>0.6276760751707875</v>
      </c>
      <c r="I19" s="5">
        <f t="shared" si="5"/>
        <v>0.58367084230599364</v>
      </c>
      <c r="J19" s="5">
        <f t="shared" si="5"/>
        <v>0.6491732878738935</v>
      </c>
      <c r="K19" s="5">
        <f t="shared" si="5"/>
        <v>0.62978340723109349</v>
      </c>
      <c r="L19" s="5">
        <f t="shared" si="4"/>
        <v>0.60795269377883743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>
        <f>IF(D4=0,"",POWER($K4/D4,1/7)-1)</f>
        <v>0.16033539930315976</v>
      </c>
      <c r="J23" s="5">
        <f>IF(F4=0,"",POWER($K4/F4,1/5)-1)</f>
        <v>0.21994519542874302</v>
      </c>
      <c r="K23" s="5">
        <f>IF(H4=0,"",POWER($K4/H4, 1/3)-1)</f>
        <v>0.29534935052932121</v>
      </c>
      <c r="L23" s="5">
        <f>IF(ISERROR(MAX(IF(J4=0,"",(K4-J4)/J4),IF(K4=0,"",(L4-K4)/K4))),"",MAX(IF(J4=0,"",(K4-J4)/J4),IF(K4=0,"",(L4-K4)/K4)))</f>
        <v>0.21343587042973841</v>
      </c>
      <c r="M23" s="16">
        <f>MAX(K23:L23)</f>
        <v>0.29534935052932121</v>
      </c>
      <c r="N23" s="16">
        <f>MIN(H23:L23)</f>
        <v>0.16033539930315976</v>
      </c>
    </row>
    <row r="24" spans="1:14" x14ac:dyDescent="0.25">
      <c r="G24" t="s">
        <v>18</v>
      </c>
      <c r="H24" s="5">
        <f>IF(SUM(B4:$K$4)=0,"",SUMPRODUCT(B19:$K$19,B4:$K$4)/SUM(B4:$K$4))</f>
        <v>0.60771080154814316</v>
      </c>
      <c r="I24" s="5">
        <f>IF(SUM(E4:$K$4)=0,"",SUMPRODUCT(E19:$K$19,E4:$K$4)/SUM(E4:$K$4))</f>
        <v>0.60515592429620102</v>
      </c>
      <c r="J24" s="5">
        <f>IF(SUM(G4:$K$4)=0,"",SUMPRODUCT(G19:$K$19,G4:$K$4)/SUM(G4:$K$4))</f>
        <v>0.61561639582776984</v>
      </c>
      <c r="K24" s="5">
        <f>IF(SUM(I4:$K$4)=0, "", SUMPRODUCT(I19:$K$19,I4:$K$4)/SUM(I4:$K$4))</f>
        <v>0.62407132512018149</v>
      </c>
      <c r="L24" s="5">
        <f>L19</f>
        <v>0.60795269377883743</v>
      </c>
      <c r="M24" s="16">
        <f>MAX(K24:L24)</f>
        <v>0.62407132512018149</v>
      </c>
      <c r="N24" s="16">
        <f>MIN(H24:L24)</f>
        <v>0.60515592429620102</v>
      </c>
    </row>
    <row r="25" spans="1:14" x14ac:dyDescent="0.25">
      <c r="G25" t="s">
        <v>23</v>
      </c>
      <c r="H25" s="6">
        <f>IF(ISERROR(AVERAGEIF(B14:$L14,"&gt;0")),"",AVERAGEIF(B14:$L14,"&gt;0"))</f>
        <v>31.755032228333327</v>
      </c>
      <c r="I25" s="6">
        <f>IF(ISERROR(AVERAGEIF(E14:$L14,"&gt;0")),"",AVERAGEIF(E14:$L14,"&gt;0"))</f>
        <v>31.755032228333327</v>
      </c>
      <c r="J25" s="6">
        <f>IF(ISERROR(AVERAGEIF(G14:$L14,"&gt;0")),"",AVERAGEIF(G14:$L14,"&gt;0"))</f>
        <v>30.155255553611529</v>
      </c>
      <c r="K25" s="6">
        <f>IF(ISERROR(AVERAGEIF(I14:$L14,"&gt;0")),"",AVERAGEIF(I14:$L14,"&gt;0"))</f>
        <v>32.999347742587176</v>
      </c>
      <c r="L25" s="6">
        <f>L14</f>
        <v>33.641016796881274</v>
      </c>
      <c r="M25" s="1">
        <f>MAX(K25:L25)</f>
        <v>33.641016796881274</v>
      </c>
      <c r="N25" s="1">
        <f>MIN(H25:L25)</f>
        <v>30.155255553611529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360 ONE WAM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45473</v>
      </c>
      <c r="C3" s="12">
        <f>'Data Sheet'!C41</f>
        <v>45565</v>
      </c>
      <c r="D3" s="12">
        <f>'Data Sheet'!D41</f>
        <v>45657</v>
      </c>
      <c r="E3" s="12">
        <f>'Data Sheet'!E41</f>
        <v>45747</v>
      </c>
      <c r="F3" s="12">
        <f>'Data Sheet'!F41</f>
        <v>45838</v>
      </c>
      <c r="G3" s="12">
        <f>'Data Sheet'!G41</f>
        <v>45930</v>
      </c>
      <c r="H3" s="12">
        <f>'Data Sheet'!H41</f>
        <v>46022</v>
      </c>
      <c r="I3" s="12">
        <f>'Data Sheet'!I41</f>
        <v>46112</v>
      </c>
      <c r="J3" s="12">
        <f>'Data Sheet'!J41</f>
        <v>46203</v>
      </c>
      <c r="K3" s="12">
        <f>'Data Sheet'!K41</f>
        <v>46295</v>
      </c>
    </row>
    <row r="4" spans="1:11" s="2" customFormat="1" x14ac:dyDescent="0.25">
      <c r="A4" s="2" t="s">
        <v>6</v>
      </c>
      <c r="B4" s="1">
        <f>'Data Sheet'!B42</f>
        <v>849.34</v>
      </c>
      <c r="C4" s="1">
        <f>'Data Sheet'!C42</f>
        <v>865.15</v>
      </c>
      <c r="D4" s="1">
        <f>'Data Sheet'!D42</f>
        <v>780</v>
      </c>
      <c r="E4" s="1">
        <f>'Data Sheet'!E42</f>
        <v>820.77</v>
      </c>
      <c r="F4" s="1">
        <f>'Data Sheet'!F42</f>
        <v>911.46</v>
      </c>
      <c r="G4" s="1">
        <f>'Data Sheet'!G42</f>
        <v>1098.06</v>
      </c>
      <c r="H4" s="1">
        <f>'Data Sheet'!H42</f>
        <v>1181.48</v>
      </c>
      <c r="I4" s="1">
        <f>'Data Sheet'!I42</f>
        <v>1115.47</v>
      </c>
      <c r="J4" s="1">
        <f>'Data Sheet'!J42</f>
        <v>1223.3</v>
      </c>
      <c r="K4" s="1">
        <f>'Data Sheet'!K42</f>
        <v>1143.83</v>
      </c>
    </row>
    <row r="5" spans="1:11" x14ac:dyDescent="0.25">
      <c r="A5" t="s">
        <v>7</v>
      </c>
      <c r="B5" s="6">
        <f>'Data Sheet'!B43</f>
        <v>272.49</v>
      </c>
      <c r="C5" s="6">
        <f>'Data Sheet'!C43</f>
        <v>324.2</v>
      </c>
      <c r="D5" s="6">
        <f>'Data Sheet'!D43</f>
        <v>336.15</v>
      </c>
      <c r="E5" s="6">
        <f>'Data Sheet'!E43</f>
        <v>359.55</v>
      </c>
      <c r="F5" s="6">
        <f>'Data Sheet'!F43</f>
        <v>345.57</v>
      </c>
      <c r="G5" s="6">
        <f>'Data Sheet'!G43</f>
        <v>401.03</v>
      </c>
      <c r="H5" s="6">
        <f>'Data Sheet'!H43</f>
        <v>456.1</v>
      </c>
      <c r="I5" s="6">
        <f>'Data Sheet'!I43</f>
        <v>452.22</v>
      </c>
      <c r="J5" s="6">
        <f>'Data Sheet'!J43</f>
        <v>453.51</v>
      </c>
      <c r="K5" s="6">
        <f>'Data Sheet'!K43</f>
        <v>466.71</v>
      </c>
    </row>
    <row r="6" spans="1:11" s="2" customFormat="1" x14ac:dyDescent="0.25">
      <c r="A6" s="2" t="s">
        <v>8</v>
      </c>
      <c r="B6" s="1">
        <f>'Data Sheet'!B50</f>
        <v>576.85</v>
      </c>
      <c r="C6" s="1">
        <f>'Data Sheet'!C50</f>
        <v>540.95000000000005</v>
      </c>
      <c r="D6" s="1">
        <f>'Data Sheet'!D50</f>
        <v>443.85</v>
      </c>
      <c r="E6" s="1">
        <f>'Data Sheet'!E50</f>
        <v>461.22</v>
      </c>
      <c r="F6" s="1">
        <f>'Data Sheet'!F50</f>
        <v>565.89</v>
      </c>
      <c r="G6" s="1">
        <f>'Data Sheet'!G50</f>
        <v>697.03</v>
      </c>
      <c r="H6" s="1">
        <f>'Data Sheet'!H50</f>
        <v>725.38</v>
      </c>
      <c r="I6" s="1">
        <f>'Data Sheet'!I50</f>
        <v>663.25</v>
      </c>
      <c r="J6" s="1">
        <f>'Data Sheet'!J50</f>
        <v>769.79</v>
      </c>
      <c r="K6" s="1">
        <f>'Data Sheet'!K50</f>
        <v>677.12</v>
      </c>
    </row>
    <row r="7" spans="1:11" x14ac:dyDescent="0.25">
      <c r="A7" t="s">
        <v>9</v>
      </c>
      <c r="B7" s="6">
        <f>'Data Sheet'!B44</f>
        <v>-1.43</v>
      </c>
      <c r="C7" s="6">
        <f>'Data Sheet'!C44</f>
        <v>27.67</v>
      </c>
      <c r="D7" s="6">
        <f>'Data Sheet'!D44</f>
        <v>154.34</v>
      </c>
      <c r="E7" s="6">
        <f>'Data Sheet'!E44</f>
        <v>100.92</v>
      </c>
      <c r="F7" s="6">
        <f>'Data Sheet'!F44</f>
        <v>68.58</v>
      </c>
      <c r="G7" s="6">
        <f>'Data Sheet'!G44</f>
        <v>9.4600000000000009</v>
      </c>
      <c r="H7" s="6">
        <f>'Data Sheet'!H44</f>
        <v>38.51</v>
      </c>
      <c r="I7" s="6">
        <f>'Data Sheet'!I44</f>
        <v>54.24</v>
      </c>
      <c r="J7" s="6">
        <f>'Data Sheet'!J44</f>
        <v>49.82</v>
      </c>
      <c r="K7" s="6">
        <f>'Data Sheet'!K44</f>
        <v>117.6</v>
      </c>
    </row>
    <row r="8" spans="1:11" x14ac:dyDescent="0.25">
      <c r="A8" t="s">
        <v>10</v>
      </c>
      <c r="B8" s="6">
        <f>'Data Sheet'!B45</f>
        <v>16.46</v>
      </c>
      <c r="C8" s="6">
        <f>'Data Sheet'!C45</f>
        <v>17.23</v>
      </c>
      <c r="D8" s="6">
        <f>'Data Sheet'!D45</f>
        <v>17.170000000000002</v>
      </c>
      <c r="E8" s="6">
        <f>'Data Sheet'!E45</f>
        <v>19.670000000000002</v>
      </c>
      <c r="F8" s="6">
        <f>'Data Sheet'!F45</f>
        <v>32.130000000000003</v>
      </c>
      <c r="G8" s="6">
        <f>'Data Sheet'!G45</f>
        <v>39.19</v>
      </c>
      <c r="H8" s="6">
        <f>'Data Sheet'!H45</f>
        <v>40.880000000000003</v>
      </c>
      <c r="I8" s="6">
        <f>'Data Sheet'!I45</f>
        <v>43.02</v>
      </c>
      <c r="J8" s="6">
        <f>'Data Sheet'!J45</f>
        <v>42.11</v>
      </c>
      <c r="K8" s="6">
        <f>'Data Sheet'!K45</f>
        <v>42.79</v>
      </c>
    </row>
    <row r="9" spans="1:11" x14ac:dyDescent="0.25">
      <c r="A9" t="s">
        <v>11</v>
      </c>
      <c r="B9" s="6">
        <f>'Data Sheet'!B46</f>
        <v>214.31</v>
      </c>
      <c r="C9" s="6">
        <f>'Data Sheet'!C46</f>
        <v>232.29</v>
      </c>
      <c r="D9" s="6">
        <f>'Data Sheet'!D46</f>
        <v>222.22</v>
      </c>
      <c r="E9" s="6">
        <f>'Data Sheet'!E46</f>
        <v>218.2</v>
      </c>
      <c r="F9" s="6">
        <f>'Data Sheet'!F46</f>
        <v>228.54</v>
      </c>
      <c r="G9" s="6">
        <f>'Data Sheet'!G46</f>
        <v>253.89</v>
      </c>
      <c r="H9" s="6">
        <f>'Data Sheet'!H46</f>
        <v>295.95999999999998</v>
      </c>
      <c r="I9" s="6">
        <f>'Data Sheet'!I46</f>
        <v>311.85000000000002</v>
      </c>
      <c r="J9" s="6">
        <f>'Data Sheet'!J46</f>
        <v>353.99</v>
      </c>
      <c r="K9" s="6">
        <f>'Data Sheet'!K46</f>
        <v>361.34</v>
      </c>
    </row>
    <row r="10" spans="1:11" x14ac:dyDescent="0.25">
      <c r="A10" t="s">
        <v>12</v>
      </c>
      <c r="B10" s="6">
        <f>'Data Sheet'!B47</f>
        <v>344.65</v>
      </c>
      <c r="C10" s="6">
        <f>'Data Sheet'!C47</f>
        <v>319.10000000000002</v>
      </c>
      <c r="D10" s="6">
        <f>'Data Sheet'!D47</f>
        <v>358.8</v>
      </c>
      <c r="E10" s="6">
        <f>'Data Sheet'!E47</f>
        <v>324.27</v>
      </c>
      <c r="F10" s="6">
        <f>'Data Sheet'!F47</f>
        <v>373.8</v>
      </c>
      <c r="G10" s="6">
        <f>'Data Sheet'!G47</f>
        <v>413.41</v>
      </c>
      <c r="H10" s="6">
        <f>'Data Sheet'!H47</f>
        <v>427.05</v>
      </c>
      <c r="I10" s="6">
        <f>'Data Sheet'!I47</f>
        <v>362.62</v>
      </c>
      <c r="J10" s="6">
        <f>'Data Sheet'!J47</f>
        <v>423.51</v>
      </c>
      <c r="K10" s="6">
        <f>'Data Sheet'!K47</f>
        <v>390.59</v>
      </c>
    </row>
    <row r="11" spans="1:11" x14ac:dyDescent="0.25">
      <c r="A11" t="s">
        <v>13</v>
      </c>
      <c r="B11" s="6">
        <f>'Data Sheet'!B48</f>
        <v>100.91</v>
      </c>
      <c r="C11" s="6">
        <f>'Data Sheet'!C48</f>
        <v>73.61</v>
      </c>
      <c r="D11" s="6">
        <f>'Data Sheet'!D48</f>
        <v>82.33</v>
      </c>
      <c r="E11" s="6">
        <f>'Data Sheet'!E48</f>
        <v>74.67</v>
      </c>
      <c r="F11" s="6">
        <f>'Data Sheet'!F48</f>
        <v>89.13</v>
      </c>
      <c r="G11" s="6">
        <f>'Data Sheet'!G48</f>
        <v>97.93</v>
      </c>
      <c r="H11" s="6">
        <f>'Data Sheet'!H48</f>
        <v>99.77</v>
      </c>
      <c r="I11" s="6">
        <f>'Data Sheet'!I48</f>
        <v>73.88</v>
      </c>
      <c r="J11" s="6">
        <f>'Data Sheet'!J48</f>
        <v>92.98</v>
      </c>
      <c r="K11" s="6">
        <f>'Data Sheet'!K48</f>
        <v>90.48</v>
      </c>
    </row>
    <row r="12" spans="1:11" s="2" customFormat="1" x14ac:dyDescent="0.25">
      <c r="A12" s="2" t="s">
        <v>14</v>
      </c>
      <c r="B12" s="1">
        <f>'Data Sheet'!B49</f>
        <v>243.74</v>
      </c>
      <c r="C12" s="1">
        <f>'Data Sheet'!C49</f>
        <v>245.49</v>
      </c>
      <c r="D12" s="1">
        <f>'Data Sheet'!D49</f>
        <v>276.47000000000003</v>
      </c>
      <c r="E12" s="1">
        <f>'Data Sheet'!E49</f>
        <v>249.6</v>
      </c>
      <c r="F12" s="1">
        <f>'Data Sheet'!F49</f>
        <v>284.67</v>
      </c>
      <c r="G12" s="1">
        <f>'Data Sheet'!G49</f>
        <v>315.48</v>
      </c>
      <c r="H12" s="1">
        <f>'Data Sheet'!H49</f>
        <v>327.27999999999997</v>
      </c>
      <c r="I12" s="1">
        <f>'Data Sheet'!I49</f>
        <v>288.74</v>
      </c>
      <c r="J12" s="1">
        <f>'Data Sheet'!J49</f>
        <v>330.53</v>
      </c>
      <c r="K12" s="1">
        <f>'Data Sheet'!K49</f>
        <v>300.11</v>
      </c>
    </row>
    <row r="14" spans="1:11" s="2" customFormat="1" x14ac:dyDescent="0.25">
      <c r="A14" s="2" t="s">
        <v>18</v>
      </c>
      <c r="B14" s="10">
        <f>IF(B4&gt;0,B6/B4,"")</f>
        <v>0.67917441778321996</v>
      </c>
      <c r="C14" s="10">
        <f t="shared" ref="C14:K14" si="0">IF(C4&gt;0,C6/C4,"")</f>
        <v>0.62526729468878239</v>
      </c>
      <c r="D14" s="10">
        <f t="shared" si="0"/>
        <v>0.5690384615384616</v>
      </c>
      <c r="E14" s="10">
        <f t="shared" si="0"/>
        <v>0.56193574326547024</v>
      </c>
      <c r="F14" s="10">
        <f t="shared" si="0"/>
        <v>0.62086103613981958</v>
      </c>
      <c r="G14" s="10">
        <f t="shared" si="0"/>
        <v>0.63478316303298543</v>
      </c>
      <c r="H14" s="10">
        <f t="shared" si="0"/>
        <v>0.61395876358465651</v>
      </c>
      <c r="I14" s="10">
        <f t="shared" si="0"/>
        <v>0.59459241396003482</v>
      </c>
      <c r="J14" s="10">
        <f t="shared" si="0"/>
        <v>0.62927327720101367</v>
      </c>
      <c r="K14" s="10">
        <f t="shared" si="0"/>
        <v>0.59197608036159222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360 ONE WAM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0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0</v>
      </c>
      <c r="C4" s="14">
        <f>'Data Sheet'!C57</f>
        <v>15.95</v>
      </c>
      <c r="D4" s="14">
        <f>'Data Sheet'!D57</f>
        <v>16.899999999999999</v>
      </c>
      <c r="E4" s="14">
        <f>'Data Sheet'!E57</f>
        <v>17.43</v>
      </c>
      <c r="F4" s="14">
        <f>'Data Sheet'!F57</f>
        <v>17.579999999999998</v>
      </c>
      <c r="G4" s="14">
        <f>'Data Sheet'!G57</f>
        <v>17.739999999999998</v>
      </c>
      <c r="H4" s="14">
        <f>'Data Sheet'!H57</f>
        <v>35.61</v>
      </c>
      <c r="I4" s="14">
        <f>'Data Sheet'!I57</f>
        <v>35.89</v>
      </c>
      <c r="J4" s="14">
        <f>'Data Sheet'!J57</f>
        <v>39.31</v>
      </c>
      <c r="K4" s="14">
        <f>'Data Sheet'!K57</f>
        <v>40.61</v>
      </c>
    </row>
    <row r="5" spans="1:11" x14ac:dyDescent="0.25">
      <c r="A5" t="s">
        <v>25</v>
      </c>
      <c r="B5" s="14">
        <f>'Data Sheet'!B58</f>
        <v>0</v>
      </c>
      <c r="C5" s="14">
        <f>'Data Sheet'!C58</f>
        <v>1846.94</v>
      </c>
      <c r="D5" s="14">
        <f>'Data Sheet'!D58</f>
        <v>2893.52</v>
      </c>
      <c r="E5" s="14">
        <f>'Data Sheet'!E58</f>
        <v>2974.08</v>
      </c>
      <c r="F5" s="14">
        <f>'Data Sheet'!F58</f>
        <v>2810.19</v>
      </c>
      <c r="G5" s="14">
        <f>'Data Sheet'!G58</f>
        <v>3005.79</v>
      </c>
      <c r="H5" s="14">
        <f>'Data Sheet'!H58</f>
        <v>3086.34</v>
      </c>
      <c r="I5" s="14">
        <f>'Data Sheet'!I58</f>
        <v>3413.84</v>
      </c>
      <c r="J5" s="14">
        <f>'Data Sheet'!J58</f>
        <v>7025.81</v>
      </c>
      <c r="K5" s="14">
        <f>'Data Sheet'!K58</f>
        <v>9794.94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6966.33</v>
      </c>
      <c r="D6" s="14">
        <f>'Data Sheet'!D59</f>
        <v>6103.08</v>
      </c>
      <c r="E6" s="14">
        <f>'Data Sheet'!E59</f>
        <v>8838.1</v>
      </c>
      <c r="F6" s="14">
        <f>'Data Sheet'!F59</f>
        <v>5076.6899999999996</v>
      </c>
      <c r="G6" s="14">
        <f>'Data Sheet'!G59</f>
        <v>5807.58</v>
      </c>
      <c r="H6" s="14">
        <f>'Data Sheet'!H59</f>
        <v>6783.67</v>
      </c>
      <c r="I6" s="14">
        <f>'Data Sheet'!I59</f>
        <v>9471.93</v>
      </c>
      <c r="J6" s="14">
        <f>'Data Sheet'!J59</f>
        <v>11160.2</v>
      </c>
      <c r="K6" s="14">
        <f>'Data Sheet'!K59</f>
        <v>15931.31</v>
      </c>
    </row>
    <row r="7" spans="1:11" x14ac:dyDescent="0.25">
      <c r="A7" t="s">
        <v>72</v>
      </c>
      <c r="B7" s="14">
        <f>'Data Sheet'!B60</f>
        <v>0</v>
      </c>
      <c r="C7" s="14">
        <f>'Data Sheet'!C60</f>
        <v>737.36</v>
      </c>
      <c r="D7" s="14">
        <f>'Data Sheet'!D60</f>
        <v>749.42</v>
      </c>
      <c r="E7" s="14">
        <f>'Data Sheet'!E60</f>
        <v>1191.4000000000001</v>
      </c>
      <c r="F7" s="14">
        <f>'Data Sheet'!F60</f>
        <v>834.39</v>
      </c>
      <c r="G7" s="14">
        <f>'Data Sheet'!G60</f>
        <v>1903.14</v>
      </c>
      <c r="H7" s="14">
        <f>'Data Sheet'!H60</f>
        <v>1285.0899999999999</v>
      </c>
      <c r="I7" s="14">
        <f>'Data Sheet'!I60</f>
        <v>2192.6999999999998</v>
      </c>
      <c r="J7" s="14">
        <f>'Data Sheet'!J60</f>
        <v>1542.91</v>
      </c>
      <c r="K7" s="14">
        <f>'Data Sheet'!K60</f>
        <v>1432.51</v>
      </c>
    </row>
    <row r="8" spans="1:11" s="2" customFormat="1" x14ac:dyDescent="0.25">
      <c r="A8" s="2" t="s">
        <v>26</v>
      </c>
      <c r="B8" s="15">
        <f>'Data Sheet'!B61</f>
        <v>0</v>
      </c>
      <c r="C8" s="15">
        <f>'Data Sheet'!C61</f>
        <v>9566.58</v>
      </c>
      <c r="D8" s="15">
        <f>'Data Sheet'!D61</f>
        <v>9762.92</v>
      </c>
      <c r="E8" s="15">
        <f>'Data Sheet'!E61</f>
        <v>13021.01</v>
      </c>
      <c r="F8" s="15">
        <f>'Data Sheet'!F61</f>
        <v>8738.85</v>
      </c>
      <c r="G8" s="15">
        <f>'Data Sheet'!G61</f>
        <v>10734.25</v>
      </c>
      <c r="H8" s="15">
        <f>'Data Sheet'!H61</f>
        <v>11190.71</v>
      </c>
      <c r="I8" s="15">
        <f>'Data Sheet'!I61</f>
        <v>15114.36</v>
      </c>
      <c r="J8" s="15">
        <f>'Data Sheet'!J61</f>
        <v>19768.23</v>
      </c>
      <c r="K8" s="15">
        <f>'Data Sheet'!K61</f>
        <v>27199.37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0</v>
      </c>
      <c r="C10" s="14">
        <f>'Data Sheet'!C62</f>
        <v>30.59</v>
      </c>
      <c r="D10" s="14">
        <f>'Data Sheet'!D62</f>
        <v>336.6</v>
      </c>
      <c r="E10" s="14">
        <f>'Data Sheet'!E62</f>
        <v>608.16</v>
      </c>
      <c r="F10" s="14">
        <f>'Data Sheet'!F62</f>
        <v>837.19</v>
      </c>
      <c r="G10" s="14">
        <f>'Data Sheet'!G62</f>
        <v>815.99</v>
      </c>
      <c r="H10" s="14">
        <f>'Data Sheet'!H62</f>
        <v>879.75</v>
      </c>
      <c r="I10" s="14">
        <f>'Data Sheet'!I62</f>
        <v>939.73</v>
      </c>
      <c r="J10" s="14">
        <f>'Data Sheet'!J62</f>
        <v>1281.3499999999999</v>
      </c>
      <c r="K10" s="14">
        <f>'Data Sheet'!K62</f>
        <v>3969.45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21.73</v>
      </c>
      <c r="D11" s="14">
        <f>'Data Sheet'!D63</f>
        <v>173.43</v>
      </c>
      <c r="E11" s="14">
        <f>'Data Sheet'!E63</f>
        <v>1.1000000000000001</v>
      </c>
      <c r="F11" s="14">
        <f>'Data Sheet'!F63</f>
        <v>2.4300000000000002</v>
      </c>
      <c r="G11" s="14">
        <f>'Data Sheet'!G63</f>
        <v>0.27</v>
      </c>
      <c r="H11" s="14">
        <f>'Data Sheet'!H63</f>
        <v>39.159999999999997</v>
      </c>
      <c r="I11" s="14">
        <f>'Data Sheet'!I63</f>
        <v>63.86</v>
      </c>
      <c r="J11" s="14">
        <f>'Data Sheet'!J63</f>
        <v>88.22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1111.2</v>
      </c>
      <c r="D12" s="14">
        <f>'Data Sheet'!D64</f>
        <v>3052.57</v>
      </c>
      <c r="E12" s="14">
        <f>'Data Sheet'!E64</f>
        <v>6512.44</v>
      </c>
      <c r="F12" s="14">
        <f>'Data Sheet'!F64</f>
        <v>2512.86</v>
      </c>
      <c r="G12" s="14">
        <f>'Data Sheet'!G64</f>
        <v>4072.39</v>
      </c>
      <c r="H12" s="14">
        <f>'Data Sheet'!H64</f>
        <v>3609.17</v>
      </c>
      <c r="I12" s="14">
        <f>'Data Sheet'!I64</f>
        <v>5947.67</v>
      </c>
      <c r="J12" s="14">
        <f>'Data Sheet'!J64</f>
        <v>7608.12</v>
      </c>
      <c r="K12" s="14">
        <f>'Data Sheet'!K64</f>
        <v>8842.44</v>
      </c>
    </row>
    <row r="13" spans="1:11" x14ac:dyDescent="0.25">
      <c r="A13" t="s">
        <v>73</v>
      </c>
      <c r="B13" s="14">
        <f>'Data Sheet'!B65</f>
        <v>0</v>
      </c>
      <c r="C13" s="14">
        <f>'Data Sheet'!C65</f>
        <v>8403.06</v>
      </c>
      <c r="D13" s="14">
        <f>'Data Sheet'!D65</f>
        <v>6200.32</v>
      </c>
      <c r="E13" s="14">
        <f>'Data Sheet'!E65</f>
        <v>5899.31</v>
      </c>
      <c r="F13" s="14">
        <f>'Data Sheet'!F65</f>
        <v>5386.37</v>
      </c>
      <c r="G13" s="14">
        <f>'Data Sheet'!G65</f>
        <v>5845.6</v>
      </c>
      <c r="H13" s="14">
        <f>'Data Sheet'!H65</f>
        <v>6662.63</v>
      </c>
      <c r="I13" s="14">
        <f>'Data Sheet'!I65</f>
        <v>8163.1</v>
      </c>
      <c r="J13" s="14">
        <f>'Data Sheet'!J65</f>
        <v>10790.54</v>
      </c>
      <c r="K13" s="14">
        <f>'Data Sheet'!K65</f>
        <v>14387.48</v>
      </c>
    </row>
    <row r="14" spans="1:11" s="2" customFormat="1" x14ac:dyDescent="0.25">
      <c r="A14" s="2" t="s">
        <v>26</v>
      </c>
      <c r="B14" s="14">
        <f>'Data Sheet'!B66</f>
        <v>0</v>
      </c>
      <c r="C14" s="14">
        <f>'Data Sheet'!C66</f>
        <v>9566.58</v>
      </c>
      <c r="D14" s="14">
        <f>'Data Sheet'!D66</f>
        <v>9762.92</v>
      </c>
      <c r="E14" s="14">
        <f>'Data Sheet'!E66</f>
        <v>13021.01</v>
      </c>
      <c r="F14" s="14">
        <f>'Data Sheet'!F66</f>
        <v>8738.85</v>
      </c>
      <c r="G14" s="14">
        <f>'Data Sheet'!G66</f>
        <v>10734.25</v>
      </c>
      <c r="H14" s="14">
        <f>'Data Sheet'!H66</f>
        <v>11190.71</v>
      </c>
      <c r="I14" s="14">
        <f>'Data Sheet'!I66</f>
        <v>15114.36</v>
      </c>
      <c r="J14" s="14">
        <f>'Data Sheet'!J66</f>
        <v>19768.23</v>
      </c>
      <c r="K14" s="14">
        <f>'Data Sheet'!K66</f>
        <v>27199.37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0</v>
      </c>
      <c r="C16" s="4">
        <f t="shared" ref="C16:K16" si="0">C13-C7</f>
        <v>7665.7</v>
      </c>
      <c r="D16" s="4">
        <f t="shared" si="0"/>
        <v>5450.9</v>
      </c>
      <c r="E16" s="4">
        <f t="shared" si="0"/>
        <v>4707.91</v>
      </c>
      <c r="F16" s="4">
        <f t="shared" si="0"/>
        <v>4551.9799999999996</v>
      </c>
      <c r="G16" s="4">
        <f t="shared" si="0"/>
        <v>3942.46</v>
      </c>
      <c r="H16" s="4">
        <f t="shared" si="0"/>
        <v>5377.54</v>
      </c>
      <c r="I16" s="4">
        <f t="shared" si="0"/>
        <v>5970.4000000000005</v>
      </c>
      <c r="J16" s="4">
        <f t="shared" si="0"/>
        <v>9247.630000000001</v>
      </c>
      <c r="K16" s="4">
        <f t="shared" si="0"/>
        <v>12954.97</v>
      </c>
    </row>
    <row r="17" spans="1:11" x14ac:dyDescent="0.25">
      <c r="A17" t="s">
        <v>44</v>
      </c>
      <c r="B17" s="4">
        <f>'Data Sheet'!B67</f>
        <v>0</v>
      </c>
      <c r="C17" s="4">
        <f>'Data Sheet'!C67</f>
        <v>195.2</v>
      </c>
      <c r="D17" s="4">
        <f>'Data Sheet'!D67</f>
        <v>296.07</v>
      </c>
      <c r="E17" s="4">
        <f>'Data Sheet'!E67</f>
        <v>242.55</v>
      </c>
      <c r="F17" s="4">
        <f>'Data Sheet'!F67</f>
        <v>226.4</v>
      </c>
      <c r="G17" s="4">
        <f>'Data Sheet'!G67</f>
        <v>268.16000000000003</v>
      </c>
      <c r="H17" s="4">
        <f>'Data Sheet'!H67</f>
        <v>302.83999999999997</v>
      </c>
      <c r="I17" s="4">
        <f>'Data Sheet'!I67</f>
        <v>328.17</v>
      </c>
      <c r="J17" s="4">
        <f>'Data Sheet'!J67</f>
        <v>443.06</v>
      </c>
      <c r="K17" s="4">
        <f>'Data Sheet'!K67</f>
        <v>503.56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19.75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41.784252319457636</v>
      </c>
      <c r="D20" s="4">
        <f>IF('Profit &amp; Loss'!D4&gt;0,'Balance Sheet'!D17/('Profit &amp; Loss'!D4/365),0)</f>
        <v>68.46221340918737</v>
      </c>
      <c r="E20" s="4">
        <f>IF('Profit &amp; Loss'!E4&gt;0,'Balance Sheet'!E17/('Profit &amp; Loss'!E4/365),0)</f>
        <v>58.214424271914893</v>
      </c>
      <c r="F20" s="4">
        <f>IF('Profit &amp; Loss'!F4&gt;0,'Balance Sheet'!F17/('Profit &amp; Loss'!F4/365),0)</f>
        <v>49.951641762174184</v>
      </c>
      <c r="G20" s="4">
        <f>IF('Profit &amp; Loss'!G4&gt;0,'Balance Sheet'!G17/('Profit &amp; Loss'!G4/365),0)</f>
        <v>47.242942161684716</v>
      </c>
      <c r="H20" s="4">
        <f>IF('Profit &amp; Loss'!H4&gt;0,'Balance Sheet'!H17/('Profit &amp; Loss'!H4/365),0)</f>
        <v>53.745946077358802</v>
      </c>
      <c r="I20" s="4">
        <f>IF('Profit &amp; Loss'!I4&gt;0,'Balance Sheet'!I17/('Profit &amp; Loss'!I4/365),0)</f>
        <v>41.008469963127936</v>
      </c>
      <c r="J20" s="4">
        <f>IF('Profit &amp; Loss'!J4&gt;0,'Balance Sheet'!J17/('Profit &amp; Loss'!J4/365),0)</f>
        <v>43.898644631868116</v>
      </c>
      <c r="K20" s="4">
        <f>IF('Profit &amp; Loss'!K4&gt;0,'Balance Sheet'!K17/('Profit &amp; Loss'!K4/365),0)</f>
        <v>41.117146219134071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79.92253164556962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 t="str">
        <f>IF(SUM('Balance Sheet'!B4:B5)&gt;0,'Profit &amp; Loss'!B12/SUM('Balance Sheet'!B4:B5),"")</f>
        <v/>
      </c>
      <c r="C23" s="10">
        <f>IF(SUM('Balance Sheet'!C4:C5)&gt;0,'Profit &amp; Loss'!C12/SUM('Balance Sheet'!C4:C5),"")</f>
        <v>0.20407538824085159</v>
      </c>
      <c r="D23" s="10">
        <f>IF(SUM('Balance Sheet'!D4:D5)&gt;0,'Profit &amp; Loss'!D12/SUM('Balance Sheet'!D4:D5),"")</f>
        <v>0.12869276599253715</v>
      </c>
      <c r="E23" s="10">
        <f>IF(SUM('Balance Sheet'!E4:E5)&gt;0,'Profit &amp; Loss'!E12/SUM('Balance Sheet'!E4:E5),"")</f>
        <v>6.7243632814197513E-2</v>
      </c>
      <c r="F23" s="10">
        <f>IF(SUM('Balance Sheet'!F4:F5)&gt;0,'Profit &amp; Loss'!F12/SUM('Balance Sheet'!F4:F5),"")</f>
        <v>0.13055870880587883</v>
      </c>
      <c r="G23" s="10">
        <f>IF(SUM('Balance Sheet'!G4:G5)&gt;0,'Profit &amp; Loss'!G12/SUM('Balance Sheet'!G4:G5),"")</f>
        <v>0.19108128578185105</v>
      </c>
      <c r="H23" s="10">
        <f>IF(SUM('Balance Sheet'!H4:H5)&gt;0,'Profit &amp; Loss'!H12/SUM('Balance Sheet'!H4:H5),"")</f>
        <v>0.21074328544659585</v>
      </c>
      <c r="I23" s="10">
        <f>IF(SUM('Balance Sheet'!I4:I5)&gt;0,'Profit &amp; Loss'!I12/SUM('Balance Sheet'!I4:I5),"")</f>
        <v>0.23312259220286807</v>
      </c>
      <c r="J23" s="10">
        <f>IF(SUM('Balance Sheet'!J4:J5)&gt;0,'Profit &amp; Loss'!J12/SUM('Balance Sheet'!J4:J5),"")</f>
        <v>0.14370598093167558</v>
      </c>
      <c r="K23" s="10">
        <f>IF(SUM('Balance Sheet'!K4:K5)&gt;0,'Profit &amp; Loss'!K12/SUM('Balance Sheet'!K4:K5),"")</f>
        <v>0.12365043134344292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0.23758384092819071</v>
      </c>
      <c r="D24" s="10">
        <f>IF((C4+C5+C6+D4+D5+D6)&gt;0,('Profit &amp; Loss'!D10+'Profit &amp; Loss'!D9)*2/(C4+C5+C6+D4+D5+D6),"")</f>
        <v>0.1086168476555144</v>
      </c>
      <c r="E24" s="10">
        <f>IF((D4+D5+D6+E4+E5+E6)&gt;0,('Profit &amp; Loss'!E10+'Profit &amp; Loss'!E9)*2/(D4+D5+D6+E4+E5+E6),"")</f>
        <v>7.5613476107932065E-2</v>
      </c>
      <c r="F24" s="10">
        <f>IF((E4+E5+E6+F4+F5+F6)&gt;0,('Profit &amp; Loss'!F10+'Profit &amp; Loss'!F9)*2/(E4+E5+E6+F4+F5+F6),"")</f>
        <v>9.1057749364424068E-2</v>
      </c>
      <c r="G24" s="10">
        <f>IF((F4+F5+F6+G4+G5+G6)&gt;0,('Profit &amp; Loss'!G10+'Profit &amp; Loss'!G9)*2/(F4+F5+F6+G4+G5+G6),"")</f>
        <v>0.13398408300404469</v>
      </c>
      <c r="H24" s="10">
        <f>IF((G4+G5+G6+H4+H5+H6)&gt;0,('Profit &amp; Loss'!H10+'Profit &amp; Loss'!H9)*2/(G4+G5+G6+H4+H5+H6),"")</f>
        <v>0.13337332608197908</v>
      </c>
      <c r="I24" s="10">
        <f>IF((H4+H5+H6+I4+I5+I6)&gt;0,('Profit &amp; Loss'!I10+'Profit &amp; Loss'!I9)*2/(H4+H5+H6+I4+I5+I6),"")</f>
        <v>0.14474173007033689</v>
      </c>
      <c r="J24" s="10">
        <f>IF((I4+I5+I6+J4+J5+J6)&gt;0,('Profit &amp; Loss'!J10+'Profit &amp; Loss'!J9)*2/(I4+I5+I6+J4+J5+J6),"")</f>
        <v>0.14343862551040262</v>
      </c>
      <c r="K24" s="10">
        <f>IF((J4+J5+J6+K4+K5+K6)&gt;0,('Profit &amp; Loss'!K10+'Profit &amp; Loss'!K9)*2/(J4+J5+J6+K4+K5+K6),"")</f>
        <v>0.12125427746476759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360 ONE WAM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0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0</v>
      </c>
      <c r="C4" s="1">
        <f>'Data Sheet'!C82</f>
        <v>-2771.96</v>
      </c>
      <c r="D4" s="1">
        <f>'Data Sheet'!D82</f>
        <v>1852.27</v>
      </c>
      <c r="E4" s="1">
        <f>'Data Sheet'!E82</f>
        <v>1628.09</v>
      </c>
      <c r="F4" s="1">
        <f>'Data Sheet'!F82</f>
        <v>462.66</v>
      </c>
      <c r="G4" s="1">
        <f>'Data Sheet'!G82</f>
        <v>928.8</v>
      </c>
      <c r="H4" s="1">
        <f>'Data Sheet'!H82</f>
        <v>-1322.51</v>
      </c>
      <c r="I4" s="1">
        <f>'Data Sheet'!I82</f>
        <v>-470.11</v>
      </c>
      <c r="J4" s="1">
        <f>'Data Sheet'!J82</f>
        <v>-2462.17</v>
      </c>
      <c r="K4" s="1">
        <f>'Data Sheet'!K82</f>
        <v>-2921.06</v>
      </c>
    </row>
    <row r="5" spans="1:11" x14ac:dyDescent="0.25">
      <c r="A5" t="s">
        <v>33</v>
      </c>
      <c r="B5" s="6">
        <f>'Data Sheet'!B83</f>
        <v>0</v>
      </c>
      <c r="C5" s="6">
        <f>'Data Sheet'!C83</f>
        <v>1072.53</v>
      </c>
      <c r="D5" s="6">
        <f>'Data Sheet'!D83</f>
        <v>-2133.4699999999998</v>
      </c>
      <c r="E5" s="6">
        <f>'Data Sheet'!E83</f>
        <v>-3360.69</v>
      </c>
      <c r="F5" s="6">
        <f>'Data Sheet'!F83</f>
        <v>4128.3900000000003</v>
      </c>
      <c r="G5" s="6">
        <f>'Data Sheet'!G83</f>
        <v>-1128.1099999999999</v>
      </c>
      <c r="H5" s="6">
        <f>'Data Sheet'!H83</f>
        <v>787.88</v>
      </c>
      <c r="I5" s="6">
        <f>'Data Sheet'!I83</f>
        <v>-1574.38</v>
      </c>
      <c r="J5" s="6">
        <f>'Data Sheet'!J83</f>
        <v>-989.53</v>
      </c>
      <c r="K5" s="6">
        <f>'Data Sheet'!K83</f>
        <v>-1606.89</v>
      </c>
    </row>
    <row r="6" spans="1:11" x14ac:dyDescent="0.25">
      <c r="A6" t="s">
        <v>34</v>
      </c>
      <c r="B6" s="6">
        <f>'Data Sheet'!B84</f>
        <v>0</v>
      </c>
      <c r="C6" s="6">
        <f>'Data Sheet'!C84</f>
        <v>1262.78</v>
      </c>
      <c r="D6" s="6">
        <f>'Data Sheet'!D84</f>
        <v>-80.430000000000007</v>
      </c>
      <c r="E6" s="6">
        <f>'Data Sheet'!E84</f>
        <v>2289.67</v>
      </c>
      <c r="F6" s="6">
        <f>'Data Sheet'!F84</f>
        <v>-4835.6099999999997</v>
      </c>
      <c r="G6" s="6">
        <f>'Data Sheet'!G84</f>
        <v>251.23</v>
      </c>
      <c r="H6" s="6">
        <f>'Data Sheet'!H84</f>
        <v>555.54999999999995</v>
      </c>
      <c r="I6" s="6">
        <f>'Data Sheet'!I84</f>
        <v>1977.74</v>
      </c>
      <c r="J6" s="6">
        <f>'Data Sheet'!J84</f>
        <v>3749.15</v>
      </c>
      <c r="K6" s="6">
        <f>'Data Sheet'!K84</f>
        <v>4357</v>
      </c>
    </row>
    <row r="7" spans="1:11" s="2" customFormat="1" x14ac:dyDescent="0.25">
      <c r="A7" s="2" t="s">
        <v>35</v>
      </c>
      <c r="B7" s="1">
        <f>'Data Sheet'!B85</f>
        <v>0</v>
      </c>
      <c r="C7" s="1">
        <f>'Data Sheet'!C85</f>
        <v>-436.66</v>
      </c>
      <c r="D7" s="1">
        <f>'Data Sheet'!D85</f>
        <v>-361.63</v>
      </c>
      <c r="E7" s="1">
        <f>'Data Sheet'!E85</f>
        <v>557.05999999999995</v>
      </c>
      <c r="F7" s="1">
        <f>'Data Sheet'!F85</f>
        <v>-244.57</v>
      </c>
      <c r="G7" s="1">
        <f>'Data Sheet'!G85</f>
        <v>51.92</v>
      </c>
      <c r="H7" s="1">
        <f>'Data Sheet'!H85</f>
        <v>20.92</v>
      </c>
      <c r="I7" s="1">
        <f>'Data Sheet'!I85</f>
        <v>-66.75</v>
      </c>
      <c r="J7" s="1">
        <f>'Data Sheet'!J85</f>
        <v>297.45</v>
      </c>
      <c r="K7" s="1">
        <f>'Data Sheet'!K85</f>
        <v>-170.95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42.319788092835523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991</v>
      </c>
    </row>
    <row r="9" spans="1:11" x14ac:dyDescent="0.25">
      <c r="A9" s="4" t="s">
        <v>79</v>
      </c>
      <c r="B9">
        <v>41938.910000000003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/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C17">
        <v>1705.14</v>
      </c>
      <c r="D17">
        <v>1578.47</v>
      </c>
      <c r="E17">
        <v>1520.77</v>
      </c>
      <c r="F17">
        <v>1654.32</v>
      </c>
      <c r="G17">
        <v>2071.81</v>
      </c>
      <c r="H17">
        <v>2056.65</v>
      </c>
      <c r="I17">
        <v>2920.91</v>
      </c>
      <c r="J17">
        <v>3683.87</v>
      </c>
      <c r="K17">
        <v>4470.1400000000003</v>
      </c>
    </row>
    <row r="18" spans="1:11" s="6" customFormat="1" x14ac:dyDescent="0.25">
      <c r="A18" s="4" t="s">
        <v>80</v>
      </c>
      <c r="D18">
        <v>20.56</v>
      </c>
      <c r="E18">
        <v>22.23</v>
      </c>
      <c r="F18">
        <v>53.82</v>
      </c>
      <c r="I18">
        <v>150.04</v>
      </c>
    </row>
    <row r="19" spans="1:11" s="6" customFormat="1" x14ac:dyDescent="0.25">
      <c r="A19" s="4" t="s">
        <v>81</v>
      </c>
      <c r="D19">
        <v>19.75</v>
      </c>
      <c r="E19">
        <v>-19.75</v>
      </c>
    </row>
    <row r="20" spans="1:11" s="6" customFormat="1" x14ac:dyDescent="0.25">
      <c r="A20" s="4" t="s">
        <v>82</v>
      </c>
    </row>
    <row r="21" spans="1:11" s="6" customFormat="1" x14ac:dyDescent="0.25">
      <c r="A21" s="4" t="s">
        <v>83</v>
      </c>
      <c r="C21">
        <v>78.05</v>
      </c>
      <c r="D21">
        <v>97.73</v>
      </c>
      <c r="E21">
        <v>167.28</v>
      </c>
      <c r="F21">
        <v>145.31</v>
      </c>
      <c r="G21">
        <v>222.83</v>
      </c>
      <c r="H21">
        <v>122.68</v>
      </c>
      <c r="I21">
        <v>181.14</v>
      </c>
      <c r="J21">
        <v>162.97999999999999</v>
      </c>
      <c r="K21">
        <v>255.72</v>
      </c>
    </row>
    <row r="22" spans="1:11" s="6" customFormat="1" x14ac:dyDescent="0.25">
      <c r="A22" s="4" t="s">
        <v>84</v>
      </c>
      <c r="C22">
        <v>390.84</v>
      </c>
      <c r="D22">
        <v>332.69</v>
      </c>
      <c r="E22">
        <v>374.41</v>
      </c>
      <c r="F22">
        <v>410.73</v>
      </c>
      <c r="G22">
        <v>592.87</v>
      </c>
      <c r="H22">
        <v>509.05</v>
      </c>
      <c r="I22">
        <v>689.82</v>
      </c>
      <c r="J22">
        <v>888.61</v>
      </c>
      <c r="K22">
        <v>1137.2</v>
      </c>
    </row>
    <row r="23" spans="1:11" s="6" customFormat="1" x14ac:dyDescent="0.25">
      <c r="A23" s="4" t="s">
        <v>85</v>
      </c>
      <c r="C23">
        <v>148.53</v>
      </c>
      <c r="D23">
        <v>158.07</v>
      </c>
      <c r="E23">
        <v>110.01</v>
      </c>
      <c r="F23">
        <v>77.98</v>
      </c>
      <c r="G23">
        <v>105.27</v>
      </c>
      <c r="H23">
        <v>122.86</v>
      </c>
      <c r="I23">
        <v>176.09</v>
      </c>
      <c r="J23">
        <v>210.42</v>
      </c>
      <c r="K23">
        <v>230.2</v>
      </c>
    </row>
    <row r="24" spans="1:11" s="6" customFormat="1" x14ac:dyDescent="0.25">
      <c r="A24" s="4" t="s">
        <v>86</v>
      </c>
      <c r="C24">
        <v>34.94</v>
      </c>
      <c r="D24">
        <v>-0.49</v>
      </c>
      <c r="E24">
        <v>3.83</v>
      </c>
      <c r="F24">
        <v>27.35</v>
      </c>
      <c r="G24">
        <v>-6.16</v>
      </c>
      <c r="H24">
        <v>11.15</v>
      </c>
      <c r="I24">
        <v>18.97</v>
      </c>
      <c r="J24">
        <v>30.39</v>
      </c>
      <c r="K24">
        <v>31.8</v>
      </c>
    </row>
    <row r="25" spans="1:11" s="6" customFormat="1" x14ac:dyDescent="0.25">
      <c r="A25" s="6" t="s">
        <v>9</v>
      </c>
      <c r="C25">
        <v>9.67</v>
      </c>
      <c r="D25">
        <v>0.86</v>
      </c>
      <c r="E25">
        <v>5.77</v>
      </c>
      <c r="F25">
        <v>2.31</v>
      </c>
      <c r="G25">
        <v>5.89</v>
      </c>
      <c r="H25">
        <v>4.8899999999999997</v>
      </c>
      <c r="I25">
        <v>3.82</v>
      </c>
      <c r="J25">
        <v>-87.1</v>
      </c>
      <c r="K25">
        <v>7.12</v>
      </c>
    </row>
    <row r="26" spans="1:11" s="6" customFormat="1" x14ac:dyDescent="0.25">
      <c r="A26" s="6" t="s">
        <v>10</v>
      </c>
      <c r="C26">
        <v>13.61</v>
      </c>
      <c r="D26">
        <v>21.51</v>
      </c>
      <c r="E26">
        <v>41.02</v>
      </c>
      <c r="F26">
        <v>42.97</v>
      </c>
      <c r="G26">
        <v>41.74</v>
      </c>
      <c r="H26">
        <v>46.31</v>
      </c>
      <c r="I26">
        <v>56.64</v>
      </c>
      <c r="J26">
        <v>70.53</v>
      </c>
      <c r="K26">
        <v>155.22</v>
      </c>
    </row>
    <row r="27" spans="1:11" s="6" customFormat="1" x14ac:dyDescent="0.25">
      <c r="A27" s="6" t="s">
        <v>11</v>
      </c>
      <c r="C27">
        <v>558.76</v>
      </c>
      <c r="D27">
        <v>431.08</v>
      </c>
      <c r="E27">
        <v>501.59</v>
      </c>
      <c r="F27">
        <v>413.55</v>
      </c>
      <c r="G27">
        <v>369.85</v>
      </c>
      <c r="H27">
        <v>399.2</v>
      </c>
      <c r="I27">
        <v>643.49</v>
      </c>
      <c r="J27">
        <v>887.02</v>
      </c>
      <c r="K27">
        <v>1090.24</v>
      </c>
    </row>
    <row r="28" spans="1:11" s="6" customFormat="1" x14ac:dyDescent="0.25">
      <c r="A28" s="6" t="s">
        <v>12</v>
      </c>
      <c r="C28">
        <v>490.08</v>
      </c>
      <c r="D28">
        <v>537.92999999999995</v>
      </c>
      <c r="E28">
        <v>286.42</v>
      </c>
      <c r="F28">
        <v>484.92</v>
      </c>
      <c r="G28">
        <v>751.3</v>
      </c>
      <c r="H28">
        <v>850.29</v>
      </c>
      <c r="I28">
        <v>1008.54</v>
      </c>
      <c r="J28">
        <v>1346.82</v>
      </c>
      <c r="K28">
        <v>1576.88</v>
      </c>
    </row>
    <row r="29" spans="1:11" s="6" customFormat="1" x14ac:dyDescent="0.25">
      <c r="A29" s="6" t="s">
        <v>13</v>
      </c>
      <c r="C29">
        <v>109.9</v>
      </c>
      <c r="D29">
        <v>163.38</v>
      </c>
      <c r="E29">
        <v>85.26</v>
      </c>
      <c r="F29">
        <v>115.73</v>
      </c>
      <c r="G29">
        <v>173.56</v>
      </c>
      <c r="H29">
        <v>192.4</v>
      </c>
      <c r="I29">
        <v>204.33</v>
      </c>
      <c r="J29">
        <v>331.52</v>
      </c>
      <c r="K29">
        <v>360.71</v>
      </c>
    </row>
    <row r="30" spans="1:11" s="6" customFormat="1" x14ac:dyDescent="0.25">
      <c r="A30" s="6" t="s">
        <v>14</v>
      </c>
      <c r="C30">
        <v>380.17</v>
      </c>
      <c r="D30">
        <v>374.55</v>
      </c>
      <c r="E30">
        <v>201.16</v>
      </c>
      <c r="F30">
        <v>369.19</v>
      </c>
      <c r="G30">
        <v>577.74</v>
      </c>
      <c r="H30">
        <v>657.93</v>
      </c>
      <c r="I30">
        <v>804.21</v>
      </c>
      <c r="J30">
        <v>1015.3</v>
      </c>
      <c r="K30">
        <v>1216.17</v>
      </c>
    </row>
    <row r="31" spans="1:11" s="6" customFormat="1" x14ac:dyDescent="0.25">
      <c r="A31" s="6" t="s">
        <v>70</v>
      </c>
      <c r="C31">
        <v>71.78</v>
      </c>
      <c r="D31">
        <v>84.5</v>
      </c>
      <c r="E31">
        <v>174.3</v>
      </c>
      <c r="F31">
        <v>615.29999999999995</v>
      </c>
      <c r="G31">
        <v>487.85</v>
      </c>
      <c r="H31">
        <v>2457.09</v>
      </c>
      <c r="I31">
        <v>592.17999999999995</v>
      </c>
      <c r="J31">
        <v>235.86</v>
      </c>
      <c r="K31">
        <v>487.32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45473</v>
      </c>
      <c r="C41" s="12">
        <v>45565</v>
      </c>
      <c r="D41" s="12">
        <v>45657</v>
      </c>
      <c r="E41" s="12">
        <v>45747</v>
      </c>
      <c r="F41" s="12">
        <v>45838</v>
      </c>
      <c r="G41" s="12">
        <v>45930</v>
      </c>
      <c r="H41" s="12">
        <v>46022</v>
      </c>
      <c r="I41" s="12">
        <v>46112</v>
      </c>
      <c r="J41" s="12">
        <v>46203</v>
      </c>
      <c r="K41" s="12">
        <v>46295</v>
      </c>
    </row>
    <row r="42" spans="1:11" s="6" customFormat="1" x14ac:dyDescent="0.25">
      <c r="A42" s="6" t="s">
        <v>6</v>
      </c>
      <c r="B42">
        <v>849.34</v>
      </c>
      <c r="C42">
        <v>865.15</v>
      </c>
      <c r="D42">
        <v>780</v>
      </c>
      <c r="E42">
        <v>820.77</v>
      </c>
      <c r="F42">
        <v>911.46</v>
      </c>
      <c r="G42">
        <v>1098.06</v>
      </c>
      <c r="H42">
        <v>1181.48</v>
      </c>
      <c r="I42">
        <v>1115.47</v>
      </c>
      <c r="J42">
        <v>1223.3</v>
      </c>
      <c r="K42">
        <v>1143.83</v>
      </c>
    </row>
    <row r="43" spans="1:11" s="6" customFormat="1" x14ac:dyDescent="0.25">
      <c r="A43" s="6" t="s">
        <v>7</v>
      </c>
      <c r="B43">
        <v>272.49</v>
      </c>
      <c r="C43">
        <v>324.2</v>
      </c>
      <c r="D43">
        <v>336.15</v>
      </c>
      <c r="E43">
        <v>359.55</v>
      </c>
      <c r="F43">
        <v>345.57</v>
      </c>
      <c r="G43">
        <v>401.03</v>
      </c>
      <c r="H43">
        <v>456.1</v>
      </c>
      <c r="I43">
        <v>452.22</v>
      </c>
      <c r="J43">
        <v>453.51</v>
      </c>
      <c r="K43">
        <v>466.71</v>
      </c>
    </row>
    <row r="44" spans="1:11" s="6" customFormat="1" x14ac:dyDescent="0.25">
      <c r="A44" s="6" t="s">
        <v>9</v>
      </c>
      <c r="B44">
        <v>-1.43</v>
      </c>
      <c r="C44">
        <v>27.67</v>
      </c>
      <c r="D44">
        <v>154.34</v>
      </c>
      <c r="E44">
        <v>100.92</v>
      </c>
      <c r="F44">
        <v>68.58</v>
      </c>
      <c r="G44">
        <v>9.4600000000000009</v>
      </c>
      <c r="H44">
        <v>38.51</v>
      </c>
      <c r="I44">
        <v>54.24</v>
      </c>
      <c r="J44">
        <v>49.82</v>
      </c>
      <c r="K44">
        <v>117.6</v>
      </c>
    </row>
    <row r="45" spans="1:11" s="6" customFormat="1" x14ac:dyDescent="0.25">
      <c r="A45" s="6" t="s">
        <v>10</v>
      </c>
      <c r="B45">
        <v>16.46</v>
      </c>
      <c r="C45">
        <v>17.23</v>
      </c>
      <c r="D45">
        <v>17.170000000000002</v>
      </c>
      <c r="E45">
        <v>19.670000000000002</v>
      </c>
      <c r="F45">
        <v>32.130000000000003</v>
      </c>
      <c r="G45">
        <v>39.19</v>
      </c>
      <c r="H45">
        <v>40.880000000000003</v>
      </c>
      <c r="I45">
        <v>43.02</v>
      </c>
      <c r="J45">
        <v>42.11</v>
      </c>
      <c r="K45">
        <v>42.79</v>
      </c>
    </row>
    <row r="46" spans="1:11" s="6" customFormat="1" x14ac:dyDescent="0.25">
      <c r="A46" s="6" t="s">
        <v>11</v>
      </c>
      <c r="B46">
        <v>214.31</v>
      </c>
      <c r="C46">
        <v>232.29</v>
      </c>
      <c r="D46">
        <v>222.22</v>
      </c>
      <c r="E46">
        <v>218.2</v>
      </c>
      <c r="F46">
        <v>228.54</v>
      </c>
      <c r="G46">
        <v>253.89</v>
      </c>
      <c r="H46">
        <v>295.95999999999998</v>
      </c>
      <c r="I46">
        <v>311.85000000000002</v>
      </c>
      <c r="J46">
        <v>353.99</v>
      </c>
      <c r="K46">
        <v>361.34</v>
      </c>
    </row>
    <row r="47" spans="1:11" s="6" customFormat="1" x14ac:dyDescent="0.25">
      <c r="A47" s="6" t="s">
        <v>12</v>
      </c>
      <c r="B47">
        <v>344.65</v>
      </c>
      <c r="C47">
        <v>319.10000000000002</v>
      </c>
      <c r="D47">
        <v>358.8</v>
      </c>
      <c r="E47">
        <v>324.27</v>
      </c>
      <c r="F47">
        <v>373.8</v>
      </c>
      <c r="G47">
        <v>413.41</v>
      </c>
      <c r="H47">
        <v>427.05</v>
      </c>
      <c r="I47">
        <v>362.62</v>
      </c>
      <c r="J47">
        <v>423.51</v>
      </c>
      <c r="K47">
        <v>390.59</v>
      </c>
    </row>
    <row r="48" spans="1:11" s="6" customFormat="1" x14ac:dyDescent="0.25">
      <c r="A48" s="6" t="s">
        <v>13</v>
      </c>
      <c r="B48">
        <v>100.91</v>
      </c>
      <c r="C48">
        <v>73.61</v>
      </c>
      <c r="D48">
        <v>82.33</v>
      </c>
      <c r="E48">
        <v>74.67</v>
      </c>
      <c r="F48">
        <v>89.13</v>
      </c>
      <c r="G48">
        <v>97.93</v>
      </c>
      <c r="H48">
        <v>99.77</v>
      </c>
      <c r="I48">
        <v>73.88</v>
      </c>
      <c r="J48">
        <v>92.98</v>
      </c>
      <c r="K48">
        <v>90.48</v>
      </c>
    </row>
    <row r="49" spans="1:11" s="6" customFormat="1" x14ac:dyDescent="0.25">
      <c r="A49" s="6" t="s">
        <v>14</v>
      </c>
      <c r="B49">
        <v>243.74</v>
      </c>
      <c r="C49">
        <v>245.49</v>
      </c>
      <c r="D49">
        <v>276.47000000000003</v>
      </c>
      <c r="E49">
        <v>249.6</v>
      </c>
      <c r="F49">
        <v>284.67</v>
      </c>
      <c r="G49">
        <v>315.48</v>
      </c>
      <c r="H49">
        <v>327.27999999999997</v>
      </c>
      <c r="I49">
        <v>288.74</v>
      </c>
      <c r="J49">
        <v>330.53</v>
      </c>
      <c r="K49">
        <v>300.11</v>
      </c>
    </row>
    <row r="50" spans="1:11" x14ac:dyDescent="0.25">
      <c r="A50" s="6" t="s">
        <v>8</v>
      </c>
      <c r="B50">
        <v>576.85</v>
      </c>
      <c r="C50">
        <v>540.95000000000005</v>
      </c>
      <c r="D50">
        <v>443.85</v>
      </c>
      <c r="E50">
        <v>461.22</v>
      </c>
      <c r="F50">
        <v>565.89</v>
      </c>
      <c r="G50">
        <v>697.03</v>
      </c>
      <c r="H50">
        <v>725.38</v>
      </c>
      <c r="I50">
        <v>663.25</v>
      </c>
      <c r="J50">
        <v>769.79</v>
      </c>
      <c r="K50">
        <v>677.12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/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C57">
        <v>15.95</v>
      </c>
      <c r="D57">
        <v>16.899999999999999</v>
      </c>
      <c r="E57">
        <v>17.43</v>
      </c>
      <c r="F57">
        <v>17.579999999999998</v>
      </c>
      <c r="G57">
        <v>17.739999999999998</v>
      </c>
      <c r="H57">
        <v>35.61</v>
      </c>
      <c r="I57">
        <v>35.89</v>
      </c>
      <c r="J57">
        <v>39.31</v>
      </c>
      <c r="K57">
        <v>40.61</v>
      </c>
    </row>
    <row r="58" spans="1:11" x14ac:dyDescent="0.25">
      <c r="A58" s="6" t="s">
        <v>25</v>
      </c>
      <c r="C58">
        <v>1846.94</v>
      </c>
      <c r="D58">
        <v>2893.52</v>
      </c>
      <c r="E58">
        <v>2974.08</v>
      </c>
      <c r="F58">
        <v>2810.19</v>
      </c>
      <c r="G58">
        <v>3005.79</v>
      </c>
      <c r="H58">
        <v>3086.34</v>
      </c>
      <c r="I58">
        <v>3413.84</v>
      </c>
      <c r="J58">
        <v>7025.81</v>
      </c>
      <c r="K58">
        <v>9794.94</v>
      </c>
    </row>
    <row r="59" spans="1:11" x14ac:dyDescent="0.25">
      <c r="A59" s="6" t="s">
        <v>71</v>
      </c>
      <c r="C59">
        <v>6966.33</v>
      </c>
      <c r="D59">
        <v>6103.08</v>
      </c>
      <c r="E59">
        <v>8838.1</v>
      </c>
      <c r="F59">
        <v>5076.6899999999996</v>
      </c>
      <c r="G59">
        <v>5807.58</v>
      </c>
      <c r="H59">
        <v>6783.67</v>
      </c>
      <c r="I59">
        <v>9471.93</v>
      </c>
      <c r="J59">
        <v>11160.2</v>
      </c>
      <c r="K59">
        <v>15931.31</v>
      </c>
    </row>
    <row r="60" spans="1:11" x14ac:dyDescent="0.25">
      <c r="A60" s="6" t="s">
        <v>72</v>
      </c>
      <c r="C60">
        <v>737.36</v>
      </c>
      <c r="D60">
        <v>749.42</v>
      </c>
      <c r="E60">
        <v>1191.4000000000001</v>
      </c>
      <c r="F60">
        <v>834.39</v>
      </c>
      <c r="G60">
        <v>1903.14</v>
      </c>
      <c r="H60">
        <v>1285.0899999999999</v>
      </c>
      <c r="I60">
        <v>2192.6999999999998</v>
      </c>
      <c r="J60">
        <v>1542.91</v>
      </c>
      <c r="K60">
        <v>1432.51</v>
      </c>
    </row>
    <row r="61" spans="1:11" s="1" customFormat="1" x14ac:dyDescent="0.25">
      <c r="A61" s="1" t="s">
        <v>26</v>
      </c>
      <c r="C61">
        <v>9566.58</v>
      </c>
      <c r="D61">
        <v>9762.92</v>
      </c>
      <c r="E61">
        <v>13021.01</v>
      </c>
      <c r="F61">
        <v>8738.85</v>
      </c>
      <c r="G61">
        <v>10734.25</v>
      </c>
      <c r="H61">
        <v>11190.71</v>
      </c>
      <c r="I61">
        <v>15114.36</v>
      </c>
      <c r="J61">
        <v>19768.23</v>
      </c>
      <c r="K61">
        <v>27199.37</v>
      </c>
    </row>
    <row r="62" spans="1:11" x14ac:dyDescent="0.25">
      <c r="A62" s="6" t="s">
        <v>27</v>
      </c>
      <c r="C62">
        <v>30.59</v>
      </c>
      <c r="D62">
        <v>336.6</v>
      </c>
      <c r="E62">
        <v>608.16</v>
      </c>
      <c r="F62">
        <v>837.19</v>
      </c>
      <c r="G62">
        <v>815.99</v>
      </c>
      <c r="H62">
        <v>879.75</v>
      </c>
      <c r="I62">
        <v>939.73</v>
      </c>
      <c r="J62">
        <v>1281.3499999999999</v>
      </c>
      <c r="K62">
        <v>3969.45</v>
      </c>
    </row>
    <row r="63" spans="1:11" x14ac:dyDescent="0.25">
      <c r="A63" s="6" t="s">
        <v>28</v>
      </c>
      <c r="C63">
        <v>21.73</v>
      </c>
      <c r="D63">
        <v>173.43</v>
      </c>
      <c r="E63">
        <v>1.1000000000000001</v>
      </c>
      <c r="F63">
        <v>2.4300000000000002</v>
      </c>
      <c r="G63">
        <v>0.27</v>
      </c>
      <c r="H63">
        <v>39.159999999999997</v>
      </c>
      <c r="I63">
        <v>63.86</v>
      </c>
      <c r="J63">
        <v>88.22</v>
      </c>
    </row>
    <row r="64" spans="1:11" x14ac:dyDescent="0.25">
      <c r="A64" s="6" t="s">
        <v>29</v>
      </c>
      <c r="C64">
        <v>1111.2</v>
      </c>
      <c r="D64">
        <v>3052.57</v>
      </c>
      <c r="E64">
        <v>6512.44</v>
      </c>
      <c r="F64">
        <v>2512.86</v>
      </c>
      <c r="G64">
        <v>4072.39</v>
      </c>
      <c r="H64">
        <v>3609.17</v>
      </c>
      <c r="I64">
        <v>5947.67</v>
      </c>
      <c r="J64">
        <v>7608.12</v>
      </c>
      <c r="K64">
        <v>8842.44</v>
      </c>
    </row>
    <row r="65" spans="1:11" x14ac:dyDescent="0.25">
      <c r="A65" s="6" t="s">
        <v>73</v>
      </c>
      <c r="C65">
        <v>8403.06</v>
      </c>
      <c r="D65">
        <v>6200.32</v>
      </c>
      <c r="E65">
        <v>5899.31</v>
      </c>
      <c r="F65">
        <v>5386.37</v>
      </c>
      <c r="G65">
        <v>5845.6</v>
      </c>
      <c r="H65">
        <v>6662.63</v>
      </c>
      <c r="I65">
        <v>8163.1</v>
      </c>
      <c r="J65">
        <v>10790.54</v>
      </c>
      <c r="K65">
        <v>14387.48</v>
      </c>
    </row>
    <row r="66" spans="1:11" s="1" customFormat="1" x14ac:dyDescent="0.25">
      <c r="A66" s="1" t="s">
        <v>26</v>
      </c>
      <c r="C66">
        <v>9566.58</v>
      </c>
      <c r="D66">
        <v>9762.92</v>
      </c>
      <c r="E66">
        <v>13021.01</v>
      </c>
      <c r="F66">
        <v>8738.85</v>
      </c>
      <c r="G66">
        <v>10734.25</v>
      </c>
      <c r="H66">
        <v>11190.71</v>
      </c>
      <c r="I66">
        <v>15114.36</v>
      </c>
      <c r="J66">
        <v>19768.23</v>
      </c>
      <c r="K66">
        <v>27199.37</v>
      </c>
    </row>
    <row r="67" spans="1:11" s="6" customFormat="1" x14ac:dyDescent="0.25">
      <c r="A67" s="6" t="s">
        <v>78</v>
      </c>
      <c r="C67">
        <v>195.2</v>
      </c>
      <c r="D67">
        <v>296.07</v>
      </c>
      <c r="E67">
        <v>242.55</v>
      </c>
      <c r="F67">
        <v>226.4</v>
      </c>
      <c r="G67">
        <v>268.16000000000003</v>
      </c>
      <c r="H67">
        <v>302.83999999999997</v>
      </c>
      <c r="I67">
        <v>328.17</v>
      </c>
      <c r="J67">
        <v>443.06</v>
      </c>
      <c r="K67">
        <v>503.56</v>
      </c>
    </row>
    <row r="68" spans="1:11" x14ac:dyDescent="0.25">
      <c r="A68" s="6" t="s">
        <v>45</v>
      </c>
      <c r="D68">
        <v>19.75</v>
      </c>
    </row>
    <row r="69" spans="1:11" x14ac:dyDescent="0.25">
      <c r="A69" s="4" t="s">
        <v>87</v>
      </c>
      <c r="C69">
        <v>745.2</v>
      </c>
      <c r="D69">
        <v>277.42</v>
      </c>
      <c r="E69">
        <v>1178.71</v>
      </c>
      <c r="F69">
        <v>838.19</v>
      </c>
      <c r="G69">
        <v>1022.2</v>
      </c>
      <c r="H69">
        <v>725.56</v>
      </c>
      <c r="I69">
        <v>638.16999999999996</v>
      </c>
      <c r="J69">
        <v>1091.58</v>
      </c>
      <c r="K69">
        <v>1481.59</v>
      </c>
    </row>
    <row r="70" spans="1:11" x14ac:dyDescent="0.25">
      <c r="A70" s="4" t="s">
        <v>74</v>
      </c>
      <c r="C70">
        <v>79753463</v>
      </c>
      <c r="D70">
        <v>84485484</v>
      </c>
      <c r="E70">
        <v>87145002</v>
      </c>
      <c r="F70">
        <v>87882770</v>
      </c>
      <c r="G70">
        <v>88707803</v>
      </c>
      <c r="H70">
        <v>356089556</v>
      </c>
      <c r="I70">
        <v>358862640</v>
      </c>
      <c r="J70">
        <v>393073939</v>
      </c>
      <c r="K70">
        <v>406138438</v>
      </c>
    </row>
    <row r="71" spans="1:11" x14ac:dyDescent="0.25">
      <c r="A71" s="4" t="s">
        <v>75</v>
      </c>
    </row>
    <row r="72" spans="1:11" x14ac:dyDescent="0.25">
      <c r="A72" s="4" t="s">
        <v>88</v>
      </c>
      <c r="C72">
        <v>2</v>
      </c>
      <c r="D72">
        <v>2</v>
      </c>
      <c r="E72">
        <v>2</v>
      </c>
      <c r="F72">
        <v>2</v>
      </c>
      <c r="G72">
        <v>2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/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C82">
        <v>-2771.96</v>
      </c>
      <c r="D82">
        <v>1852.27</v>
      </c>
      <c r="E82">
        <v>1628.09</v>
      </c>
      <c r="F82">
        <v>462.66</v>
      </c>
      <c r="G82">
        <v>928.8</v>
      </c>
      <c r="H82">
        <v>-1322.51</v>
      </c>
      <c r="I82">
        <v>-470.11</v>
      </c>
      <c r="J82">
        <v>-2462.17</v>
      </c>
      <c r="K82">
        <v>-2921.06</v>
      </c>
    </row>
    <row r="83" spans="1:11" s="6" customFormat="1" x14ac:dyDescent="0.25">
      <c r="A83" s="6" t="s">
        <v>33</v>
      </c>
      <c r="C83">
        <v>1072.53</v>
      </c>
      <c r="D83">
        <v>-2133.4699999999998</v>
      </c>
      <c r="E83">
        <v>-3360.69</v>
      </c>
      <c r="F83">
        <v>4128.3900000000003</v>
      </c>
      <c r="G83">
        <v>-1128.1099999999999</v>
      </c>
      <c r="H83">
        <v>787.88</v>
      </c>
      <c r="I83">
        <v>-1574.38</v>
      </c>
      <c r="J83">
        <v>-989.53</v>
      </c>
      <c r="K83">
        <v>-1606.89</v>
      </c>
    </row>
    <row r="84" spans="1:11" s="6" customFormat="1" x14ac:dyDescent="0.25">
      <c r="A84" s="6" t="s">
        <v>34</v>
      </c>
      <c r="C84">
        <v>1262.78</v>
      </c>
      <c r="D84">
        <v>-80.430000000000007</v>
      </c>
      <c r="E84">
        <v>2289.67</v>
      </c>
      <c r="F84">
        <v>-4835.6099999999997</v>
      </c>
      <c r="G84">
        <v>251.23</v>
      </c>
      <c r="H84">
        <v>555.54999999999995</v>
      </c>
      <c r="I84">
        <v>1977.74</v>
      </c>
      <c r="J84">
        <v>3749.15</v>
      </c>
      <c r="K84">
        <v>4357</v>
      </c>
    </row>
    <row r="85" spans="1:11" s="1" customFormat="1" x14ac:dyDescent="0.25">
      <c r="A85" s="6" t="s">
        <v>35</v>
      </c>
      <c r="C85">
        <v>-436.66</v>
      </c>
      <c r="D85">
        <v>-361.63</v>
      </c>
      <c r="E85">
        <v>557.05999999999995</v>
      </c>
      <c r="F85">
        <v>-244.57</v>
      </c>
      <c r="G85">
        <v>51.92</v>
      </c>
      <c r="H85">
        <v>20.92</v>
      </c>
      <c r="I85">
        <v>-66.75</v>
      </c>
      <c r="J85">
        <v>297.45</v>
      </c>
      <c r="K85">
        <v>-170.95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E90">
        <v>251.45</v>
      </c>
      <c r="F90">
        <v>309.85000000000002</v>
      </c>
      <c r="G90">
        <v>417.23</v>
      </c>
      <c r="H90">
        <v>430.7</v>
      </c>
      <c r="I90">
        <v>675.6</v>
      </c>
      <c r="J90">
        <v>942.65</v>
      </c>
      <c r="K90">
        <v>949.6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f>IF($B7&gt;0,(B70*B72/$B7)+SUM(C71:$K71),0)/10000000</f>
        <v>0</v>
      </c>
      <c r="C93" s="24">
        <f>IF($B7&gt;0,(C70*C72/$B7)+SUM(D71:$K71),0)/10000000</f>
        <v>15.9506926</v>
      </c>
      <c r="D93" s="24">
        <f>IF($B7&gt;0,(D70*D72/$B7)+SUM(E71:$K71),0)/10000000</f>
        <v>16.8970968</v>
      </c>
      <c r="E93" s="24">
        <v>34.880000000000003</v>
      </c>
      <c r="F93" s="24">
        <v>35.159999999999997</v>
      </c>
      <c r="G93" s="24">
        <v>35.479999999999997</v>
      </c>
      <c r="H93" s="24">
        <v>35.61</v>
      </c>
      <c r="I93" s="24">
        <v>35.89</v>
      </c>
      <c r="J93" s="24">
        <v>39.31</v>
      </c>
      <c r="K93" s="24">
        <v>40.61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2026-10-28T17:42:31Z</dcterms:modified>
</cp:coreProperties>
</file>